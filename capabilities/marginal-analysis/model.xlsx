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puts" sheetId="1" state="visible" r:id="rId3"/>
    <sheet name="Optimization" sheetId="2" state="visible" r:id="rId4"/>
    <sheet name="Cost Structure" sheetId="3" state="visible" r:id="rId5"/>
    <sheet name="Outputs" sheetId="4" state="visible" r:id="rId6"/>
    <sheet name="MC - Tomato" sheetId="5" state="visible" r:id="rId7"/>
    <sheet name="MC - Carrot" sheetId="6" state="visible" r:id="rId8"/>
    <sheet name="MC - Mesclun" sheetId="7" state="visible" r:id="rId9"/>
    <sheet name="Checks" sheetId="8" state="visible" r:id="rId10"/>
    <sheet name="Notes" sheetId="9" state="visible" r:id="rId11"/>
  </sheets>
  <definedNames>
    <definedName function="false" hidden="false" name="BlendedLaborRate" vbProcedure="false">'Cost Structure'!$B$24</definedName>
    <definedName function="false" hidden="false" name="CarrotBeds" vbProcedure="false">Optimization!$B$8</definedName>
    <definedName function="false" hidden="false" name="CarrotFertilizerCost" vbProcedure="false">'Cost Structure'!$B$26</definedName>
    <definedName function="false" hidden="false" name="CarrotLaborHours" vbProcedure="false">'Cost Structure'!$B$11</definedName>
    <definedName function="false" hidden="false" name="CarrotRevenue" vbProcedure="false">'Cost Structure'!$B$34</definedName>
    <definedName function="false" hidden="false" name="Car_BaseLabor" vbProcedure="false">Inputs!$B$23</definedName>
    <definedName function="false" hidden="false" name="Car_DR" vbProcedure="false">Inputs!$B$25</definedName>
    <definedName function="false" hidden="false" name="Car_Fert" vbProcedure="false">Inputs!$B$24</definedName>
    <definedName function="false" hidden="false" name="Car_Limit" vbProcedure="false">Inputs!$B$21</definedName>
    <definedName function="false" hidden="false" name="Car_Rev" vbProcedure="false">Inputs!$B$22</definedName>
    <definedName function="false" hidden="false" name="FarmerHours" vbProcedure="false">Inputs!$B$7</definedName>
    <definedName function="false" hidden="false" name="FarmerHoursUsed" vbProcedure="false">'Cost Structure'!$B$14</definedName>
    <definedName function="false" hidden="false" name="FarmerLaborCost" vbProcedure="false">'Cost Structure'!$B$21</definedName>
    <definedName function="false" hidden="false" name="FarmerRate" vbProcedure="false">Inputs!$B$8</definedName>
    <definedName function="false" hidden="false" name="FixedCosts" vbProcedure="false">Inputs!$B$6</definedName>
    <definedName function="false" hidden="false" name="MaxLaborCapacity" vbProcedure="false">Inputs!$B$34</definedName>
    <definedName function="false" hidden="false" name="MaxTempWorkers" vbProcedure="false">Inputs!$B$9</definedName>
    <definedName function="false" hidden="false" name="MesclunBeds" vbProcedure="false">Optimization!$B$9</definedName>
    <definedName function="false" hidden="false" name="MesclunFertilizerCost" vbProcedure="false">'Cost Structure'!$B$27</definedName>
    <definedName function="false" hidden="false" name="MesclunLaborHours" vbProcedure="false">'Cost Structure'!$B$12</definedName>
    <definedName function="false" hidden="false" name="MesclunRevenue" vbProcedure="false">'Cost Structure'!$B$35</definedName>
    <definedName function="false" hidden="false" name="Mes_BaseLabor" vbProcedure="false">Inputs!$B$30</definedName>
    <definedName function="false" hidden="false" name="Mes_DR" vbProcedure="false">Inputs!$B$32</definedName>
    <definedName function="false" hidden="false" name="Mes_Fert" vbProcedure="false">Inputs!$B$31</definedName>
    <definedName function="false" hidden="false" name="Mes_Limit" vbProcedure="false">Inputs!$B$28</definedName>
    <definedName function="false" hidden="false" name="Mes_Rev" vbProcedure="false">Inputs!$B$29</definedName>
    <definedName function="false" hidden="false" name="SeasonLength" vbProcedure="false">Inputs!$B$5</definedName>
    <definedName function="false" hidden="false" name="SeasonProfit" vbProcedure="false">'Cost Structure'!$B$39</definedName>
    <definedName function="false" hidden="false" name="TempLaborCost" vbProcedure="false">'Cost Structure'!$B$22</definedName>
    <definedName function="false" hidden="false" name="TempLaborHoursNeeded" vbProcedure="false">'Cost Structure'!$B$15</definedName>
    <definedName function="false" hidden="false" name="TempRate" vbProcedure="false">Inputs!$B$11</definedName>
    <definedName function="false" hidden="false" name="TempWorkerHours" vbProcedure="false">Inputs!$B$10</definedName>
    <definedName function="false" hidden="false" name="TempWorkersNeeded" vbProcedure="false">'Cost Structure'!$B$16</definedName>
    <definedName function="false" hidden="false" name="TomatoBeds" vbProcedure="false">Optimization!$B$7</definedName>
    <definedName function="false" hidden="false" name="TomatoFertilizerCost" vbProcedure="false">'Cost Structure'!$B$25</definedName>
    <definedName function="false" hidden="false" name="TomatoLaborHours" vbProcedure="false">'Cost Structure'!$B$10</definedName>
    <definedName function="false" hidden="false" name="TomatoRevenue" vbProcedure="false">'Cost Structure'!$B$33</definedName>
    <definedName function="false" hidden="false" name="Tom_BaseLabor" vbProcedure="false">Inputs!$B$16</definedName>
    <definedName function="false" hidden="false" name="Tom_DR" vbProcedure="false">Inputs!$B$18</definedName>
    <definedName function="false" hidden="false" name="Tom_Fert" vbProcedure="false">Inputs!$B$17</definedName>
    <definedName function="false" hidden="false" name="Tom_Limit" vbProcedure="false">Inputs!$B$14</definedName>
    <definedName function="false" hidden="false" name="Tom_Rev" vbProcedure="false">Inputs!$B$15</definedName>
    <definedName function="false" hidden="false" name="TotalBeds" vbProcedure="false">Inputs!$B$4</definedName>
    <definedName function="false" hidden="false" name="TotalBedsUsed" vbProcedure="false">Optimization!$B$10</definedName>
    <definedName function="false" hidden="false" name="TotalCost" vbProcedure="false">'Cost Structure'!$B$30</definedName>
    <definedName function="false" hidden="false" name="TotalFertilizerCost" vbProcedure="false">'Cost Structure'!$B$28</definedName>
    <definedName function="false" hidden="false" name="TotalLaborCapacity" vbProcedure="false">'Cost Structure'!$B$17</definedName>
    <definedName function="false" hidden="false" name="TotalLaborCost" vbProcedure="false">'Cost Structure'!$B$23</definedName>
    <definedName function="false" hidden="false" name="TotalLaborRequired" vbProcedure="false">'Cost Structure'!$B$13</definedName>
    <definedName function="false" hidden="false" name="TotalRevenue" vbProcedure="false">'Cost Structure'!$B$36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<sst xmlns="http://schemas.openxmlformats.org/spreadsheetml/2006/main" count="251" uniqueCount="141">
  <si>
    <t xml:space="preserve">Marginal Analysis — Model Inputs</t>
  </si>
  <si>
    <t xml:space="preserve">Name</t>
  </si>
  <si>
    <t xml:space="preserve">Value</t>
  </si>
  <si>
    <t xml:space="preserve">Unit</t>
  </si>
  <si>
    <t xml:space="preserve">Source</t>
  </si>
  <si>
    <t xml:space="preserve">Total Bed Capacity</t>
  </si>
  <si>
    <t xml:space="preserve">beds</t>
  </si>
  <si>
    <t xml:space="preserve">Perfect Competition Case</t>
  </si>
  <si>
    <t xml:space="preserve">Season Length</t>
  </si>
  <si>
    <t xml:space="preserve">weeks</t>
  </si>
  <si>
    <t xml:space="preserve">Fixed Costs</t>
  </si>
  <si>
    <t xml:space="preserve">dollars/season</t>
  </si>
  <si>
    <t xml:space="preserve">Farmer Field Hours</t>
  </si>
  <si>
    <t xml:space="preserve">hours/season</t>
  </si>
  <si>
    <t xml:space="preserve">Farmer Labor Rate</t>
  </si>
  <si>
    <t xml:space="preserve">dollars/hour</t>
  </si>
  <si>
    <t xml:space="preserve">Maximum Temporary Workers</t>
  </si>
  <si>
    <t xml:space="preserve">workers</t>
  </si>
  <si>
    <t xml:space="preserve">Temporary Worker Hours</t>
  </si>
  <si>
    <t xml:space="preserve">hours/worker/season</t>
  </si>
  <si>
    <t xml:space="preserve">Temporary Labor Rate</t>
  </si>
  <si>
    <t xml:space="preserve">Tomato</t>
  </si>
  <si>
    <t xml:space="preserve">Tomato Bed Limit</t>
  </si>
  <si>
    <t xml:space="preserve">Tomato Revenue per Bed</t>
  </si>
  <si>
    <t xml:space="preserve">dollars/bed/season</t>
  </si>
  <si>
    <t xml:space="preserve">Tomato Base Labor</t>
  </si>
  <si>
    <t xml:space="preserve">hours/week/bed</t>
  </si>
  <si>
    <t xml:space="preserve">Tomato Fertilizer Cost</t>
  </si>
  <si>
    <t xml:space="preserve">Tomato Diminishing-Returns Rate</t>
  </si>
  <si>
    <t xml:space="preserve">per additional bed</t>
  </si>
  <si>
    <t xml:space="preserve">Carrot</t>
  </si>
  <si>
    <t xml:space="preserve">Carrot Bed Limit</t>
  </si>
  <si>
    <t xml:space="preserve">Carrot Revenue per Bed</t>
  </si>
  <si>
    <t xml:space="preserve">Carrot Base Labor</t>
  </si>
  <si>
    <t xml:space="preserve">Carrot Fertilizer Cost</t>
  </si>
  <si>
    <t xml:space="preserve">Carrot Diminishing-Returns Rate</t>
  </si>
  <si>
    <t xml:space="preserve">Mesclun</t>
  </si>
  <si>
    <t xml:space="preserve">Mesclun Bed Limit</t>
  </si>
  <si>
    <t xml:space="preserve">Mesclun Revenue per Bed</t>
  </si>
  <si>
    <t xml:space="preserve">Mesclun Base Labor</t>
  </si>
  <si>
    <t xml:space="preserve">Mesclun Fertilizer Cost</t>
  </si>
  <si>
    <t xml:space="preserve">Mesclun Diminishing-Returns Rate</t>
  </si>
  <si>
    <t xml:space="preserve">Maximum Possible Farm Labor Capacity</t>
  </si>
  <si>
    <t xml:space="preserve">Derived: Farmer Field Hours + (Max Temporary Workers × Temporary Worker Hours)</t>
  </si>
  <si>
    <t xml:space="preserve">Note: Revenue per Bed and Fertilizer Cost per Bed are full-season amounts and are not multiplied by Season Length. Season Length is used only to convert weekly base labor requirements into seasonal labor requirements.</t>
  </si>
  <si>
    <t xml:space="preserve">Optimization — Decision Variables &amp; Solver Setup</t>
  </si>
  <si>
    <t xml:space="preserve">SOLVER SETUP (run in Excel — Data &gt; Solver):  Set Objective: this sheet's Season Profit cell (maximize).  By Changing Variable Cells: B7:B9 (Tomato/Carrot/Mesclun Beds below).  Constraints: B7:B9 = integer; B7:B9 &gt;= 0; B7 &lt;= Tomato Bed Limit; B8 &lt;= Carrot Bed Limit; B9 &lt;= Mesclun Bed Limit; Total Beds Used &lt;= Total Bed Capacity (64); Total Labor Required &lt;= Total Labor Capacity; Total Labor Required &lt;= Maximum Possible Farm Labor Capacity (6,480 hrs); Temporary Workers Needed &lt;= 4.  Solving Method: GRG Nonlinear.  Run from at least two starting points — 0/0/0 and 20/0/0 — and confirm both converge to the same solution; if they differ, document it as an audit finding rather than silently picking one. NOTE: Solver is an interactive Excel add-in and cannot be operated by this file-generation process — see the Notes tab for how the decision-variable cells below were pre-populated and what you still need to verify yourself.</t>
  </si>
  <si>
    <t xml:space="preserve">Crop</t>
  </si>
  <si>
    <t xml:space="preserve">Beds (Decision Variable)</t>
  </si>
  <si>
    <t xml:space="preserve">Bed Limit</t>
  </si>
  <si>
    <t xml:space="preserve">Within Limit?</t>
  </si>
  <si>
    <t xml:space="preserve">Total Beds Used</t>
  </si>
  <si>
    <t xml:space="preserve">Season Profit (Objective — Maximize)</t>
  </si>
  <si>
    <t xml:space="preserve">Decision-variable cells (B7:B9) are pre-populated with the profit-maximizing whole-bed combination identified by exhaustive verification of every feasible integer combination (see Notes tab). Run Solver in Excel as described above to confirm this result yourself, as the specification requires.</t>
  </si>
  <si>
    <t xml:space="preserve">Solver Constraint Helper Cells (same-sheet links, for Excel Solver only)</t>
  </si>
  <si>
    <t xml:space="preserve">Total Labor Required (hrs)</t>
  </si>
  <si>
    <t xml:space="preserve">Total Labor Capacity (hrs)</t>
  </si>
  <si>
    <t xml:space="preserve">Maximum Farm Labor Capacity (hrs)</t>
  </si>
  <si>
    <t xml:space="preserve">Temporary Workers Needed</t>
  </si>
  <si>
    <t xml:space="preserve">Cost Structure — Farm-Level Calculations</t>
  </si>
  <si>
    <t xml:space="preserve">Crop Mix (from Optimization)</t>
  </si>
  <si>
    <t xml:space="preserve">Tomato Beds</t>
  </si>
  <si>
    <t xml:space="preserve">Carrot Beds</t>
  </si>
  <si>
    <t xml:space="preserve">Mesclun Beds</t>
  </si>
  <si>
    <t xml:space="preserve">Labor</t>
  </si>
  <si>
    <t xml:space="preserve">Tomato Labor Hours</t>
  </si>
  <si>
    <t xml:space="preserve">Carrot Labor Hours</t>
  </si>
  <si>
    <t xml:space="preserve">Mesclun Labor Hours</t>
  </si>
  <si>
    <t xml:space="preserve">Total Labor Required</t>
  </si>
  <si>
    <t xml:space="preserve">Farmer Hours Used</t>
  </si>
  <si>
    <t xml:space="preserve">Temporary Labor Hours Needed</t>
  </si>
  <si>
    <t xml:space="preserve">Total Labor Capacity</t>
  </si>
  <si>
    <t xml:space="preserve">Unused Labor Capacity</t>
  </si>
  <si>
    <t xml:space="preserve">Costs</t>
  </si>
  <si>
    <t xml:space="preserve">Farmer Labor Cost</t>
  </si>
  <si>
    <t xml:space="preserve">Temporary Labor Cost</t>
  </si>
  <si>
    <t xml:space="preserve">Total Labor Cost</t>
  </si>
  <si>
    <t xml:space="preserve">Blended Labor Rate</t>
  </si>
  <si>
    <t xml:space="preserve">Total Fertilizer Cost</t>
  </si>
  <si>
    <t xml:space="preserve">Total Cost</t>
  </si>
  <si>
    <t xml:space="preserve">Revenue</t>
  </si>
  <si>
    <t xml:space="preserve">Tomato Revenue</t>
  </si>
  <si>
    <t xml:space="preserve">Carrot Revenue</t>
  </si>
  <si>
    <t xml:space="preserve">Mesclun Revenue</t>
  </si>
  <si>
    <t xml:space="preserve">Total Revenue</t>
  </si>
  <si>
    <t xml:space="preserve">Profit</t>
  </si>
  <si>
    <t xml:space="preserve">Season Profit</t>
  </si>
  <si>
    <t xml:space="preserve">Outputs — Summary Dashboard</t>
  </si>
  <si>
    <t xml:space="preserve">Optimal Crop Mix</t>
  </si>
  <si>
    <t xml:space="preserve">Total Farm Cost</t>
  </si>
  <si>
    <t xml:space="preserve">Standalone Marginal-Cost Schedule — Tomato</t>
  </si>
  <si>
    <t xml:space="preserve">Evaluates Tomato independently, as if it were the farm's only crop, from q = 0 through the tomato bed limit (20 beds). Fixed Costs ($20,000) are included in Total Cost at every quantity, including q = 0, and cancel out when Marginal Cost is calculated. Labor-infeasible quantities (Temp Workers Needed &gt; 4, or Labor Hours &gt; the 6,480-hour maximum farm labor capacity) are calculated and shown, not removed — see the Labor Feasible? column.</t>
  </si>
  <si>
    <t xml:space="preserve">Beds (q)</t>
  </si>
  <si>
    <t xml:space="preserve">Labor Hours</t>
  </si>
  <si>
    <t xml:space="preserve">Temp Hours Needed</t>
  </si>
  <si>
    <t xml:space="preserve">Temp Workers Needed</t>
  </si>
  <si>
    <t xml:space="preserve">Labor Feasible?</t>
  </si>
  <si>
    <t xml:space="preserve">Temp Labor Cost</t>
  </si>
  <si>
    <t xml:space="preserve">Fertilizer Cost</t>
  </si>
  <si>
    <t xml:space="preserve">Total Cost (incl. Fixed)</t>
  </si>
  <si>
    <t xml:space="preserve">Marginal Cost</t>
  </si>
  <si>
    <t xml:space="preserve">Price (Revenue/Bed)</t>
  </si>
  <si>
    <t xml:space="preserve">MC &lt;= Price?</t>
  </si>
  <si>
    <t xml:space="preserve">|Price - MC|</t>
  </si>
  <si>
    <t xml:space="preserve">Standalone Marginal-Cost Schedule — Carrot</t>
  </si>
  <si>
    <t xml:space="preserve">Evaluates Carrot independently, as if it were the farm's only crop, from q = 0 through the carrot bed limit (20 beds). Fixed Costs ($20,000) are included in Total Cost at every quantity, including q = 0, and cancel out when Marginal Cost is calculated. Labor-infeasible quantities (Temp Workers Needed &gt; 4, or Labor Hours &gt; the 6,480-hour maximum farm labor capacity) are calculated and shown, not removed — see the Labor Feasible? column.</t>
  </si>
  <si>
    <t xml:space="preserve">Standalone Marginal-Cost Schedule — Mesclun</t>
  </si>
  <si>
    <t xml:space="preserve">Evaluates Mesclun independently, as if it were the farm's only crop, from q = 0 through the mesclun bed limit (30 beds). Fixed Costs ($20,000) are included in Total Cost at every quantity, including q = 0, and cancel out when Marginal Cost is calculated. Labor-infeasible quantities (Temp Workers Needed &gt; 4, or Labor Hours &gt; the 6,480-hour maximum farm labor capacity) are calculated and shown, not removed — see the Labor Feasible? column.</t>
  </si>
  <si>
    <t xml:space="preserve">Checks — Constraint Status</t>
  </si>
  <si>
    <t xml:space="preserve">All checks below must show PASS for the optimized crop mix on the Optimization tab to be a feasible solution.</t>
  </si>
  <si>
    <t xml:space="preserve">Constraint</t>
  </si>
  <si>
    <t xml:space="preserve">Status</t>
  </si>
  <si>
    <t xml:space="preserve">Detail</t>
  </si>
  <si>
    <t xml:space="preserve">Tomato Beds within crop limit (0-20)</t>
  </si>
  <si>
    <t xml:space="preserve">Tomato Beds must be a nonnegative integer &lt;= Tomato Bed Limit</t>
  </si>
  <si>
    <t xml:space="preserve">Carrot Beds within crop limit (0-20)</t>
  </si>
  <si>
    <t xml:space="preserve">Carrot Beds must be a nonnegative integer &lt;= Carrot Bed Limit</t>
  </si>
  <si>
    <t xml:space="preserve">Mesclun Beds within crop limit (0-30)</t>
  </si>
  <si>
    <t xml:space="preserve">Mesclun Beds must be a nonnegative integer &lt;= Mesclun Bed Limit</t>
  </si>
  <si>
    <t xml:space="preserve">Total Beds Used within Total Bed Capacity (64)</t>
  </si>
  <si>
    <t xml:space="preserve">Sum of all crop beds must not exceed 64</t>
  </si>
  <si>
    <t xml:space="preserve">Total Labor Required within Total Labor Capacity</t>
  </si>
  <si>
    <t xml:space="preserve">Total Labor Required must not exceed farmer + temporary-worker labor capacity</t>
  </si>
  <si>
    <t xml:space="preserve">Total Labor Required within Maximum Farm Labor Capacity (6,480 hrs)</t>
  </si>
  <si>
    <t xml:space="preserve">Total Labor Required must not exceed the farm's maximum possible labor capacity</t>
  </si>
  <si>
    <t xml:space="preserve">Temporary Workers Needed within limit (&lt;= 4)</t>
  </si>
  <si>
    <t xml:space="preserve">No more than 4 temporary workers are available</t>
  </si>
  <si>
    <t xml:space="preserve">All Checks Pass?</t>
  </si>
  <si>
    <t xml:space="preserve">Notes &amp; Audit Findings (build-time)</t>
  </si>
  <si>
    <t xml:space="preserve">1. Solver could not be run by this build process.</t>
  </si>
  <si>
    <t xml:space="preserve">Excel's Solver add-in (and its GRG Nonlinear engine) is an interactive Excel feature and cannot be configured or executed by a file-generation script. The Optimization tab documents the full Solver setup (objective cell, changing cells, constraints, method) for you to run yourself in Excel. As a substitute check — not a replacement for actually running Solver — every feasible whole-bed combination of Tomato (0-20), Carrot (0-20), and Mesclun (0-30) beds satisfying all constraints (total beds &lt;= 64, labor required &lt;= labor capacity, labor required &lt;= 6,480 hrs, temp workers &lt;= 4) was evaluated exhaustively outside the workbook. The global optimum found this way is 10 Tomato / 20 Carrot / 30 Mesclun beds (60 total beds), matching the spec's published check figure exactly. The decision-variable cells on the Optimization tab are pre-populated with this result.</t>
  </si>
  <si>
    <t xml:space="preserve">2. Please run Solver in Excel yourself to confirm.</t>
  </si>
  <si>
    <t xml:space="preserve">The spec requires running Solver from two starting points (0/0/0 and 20/0/0) and documenting any difference between the two as an audit finding. Because the exhaustive check above is a single global search (not two separate Solver runs), it cannot substitute for this step. Please run Solver from both starting points in Excel and confirm both converge to 10/20/30 as expected.</t>
  </si>
  <si>
    <t xml:space="preserve">3. Small profit discrepancy vs. the published check figure.</t>
  </si>
  <si>
    <t xml:space="preserve">This workbook's formulas calculate Season Profit at 10/20/30 beds as $42,775.16. The spec's published check figure is "approximately $42,762" — a difference of about $13 (0.03%). The formulas were verified independently (hand recomputation and the Validation Rules checks below) and no error was found on this end; the small gap is most likely rounding in the spec author's own reference calculation. Flagging this for your manual audit rather than adjusting the model to force a match.</t>
  </si>
  <si>
    <t xml:space="preserve">4. Farm Profit Lab cross-check not performed.</t>
  </si>
  <si>
    <t xml:space="preserve">The spec's Validation Rules ask that at least one intermediate marginal-cost result be cross-checked against the "Farm Profit Lab" during the audit. This build process has no access to that tool, so this step has not been done and is left for you to complete.</t>
  </si>
  <si>
    <t xml:space="preserve">5. Validation Rules checked during the build.</t>
  </si>
  <si>
    <t xml:space="preserve">Tomato labor at q=1 = 99.00 hours (matches spec). Tomato labor at q=10 = 2,334.37 hours (matches spec's ~2,334.37). Standalone P (approx.) = MC crossing: Tomato at q=10, Carrot at q=10, Mesclun at q=6 — all match the spec's stated quantities, using "largest q where Marginal Cost &lt;= Price" as the crossing rule (each schedule's MC keeps rising through this quantity in the normal labor-cost regime; MC can dip after farmer hours are exhausted because temporary labor, at $17.36/hr, is cheaper than farmer labor at $34.72/hr — this is a real effect of the labor-cost structure, not a formula error, and is visible directly in each MC schedule tab).</t>
  </si>
  <si>
    <t xml:space="preserve">6. Recalculation.</t>
  </si>
  <si>
    <t xml:space="preserve">This workbook was recalculated with LibreOffice after being built so that every formula carries a cached value and no formula errors remain. Please still open it in Excel and confirm Solver reproduces the same result, per notes 1-2 above.</t>
  </si>
</sst>
</file>

<file path=xl/styles.xml><?xml version="1.0" encoding="utf-8"?>
<styleSheet xmlns="http://schemas.openxmlformats.org/spreadsheetml/2006/main">
  <numFmts count="8">
    <numFmt numFmtId="164" formatCode="General"/>
    <numFmt numFmtId="165" formatCode="#,##0;\(#,##0\);\-"/>
    <numFmt numFmtId="166" formatCode="\$#,##0.00;&quot;($&quot;#,##0.00\);\-"/>
    <numFmt numFmtId="167" formatCode="#,##0.00;\(#,##0.00\);\-"/>
    <numFmt numFmtId="168" formatCode="0.0%"/>
    <numFmt numFmtId="169" formatCode="&quot;TRUE&quot;;&quot;TRUE&quot;;&quot;FALSE&quot;"/>
    <numFmt numFmtId="170" formatCode="\$#,##0.0000"/>
    <numFmt numFmtId="171"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b val="true"/>
      <sz val="10"/>
      <color rgb="FFFFFFFF"/>
      <name val="Arial"/>
      <family val="0"/>
      <charset val="1"/>
    </font>
    <font>
      <sz val="10"/>
      <color rgb="FF000000"/>
      <name val="Arial"/>
      <family val="0"/>
      <charset val="1"/>
    </font>
    <font>
      <sz val="10"/>
      <color rgb="FF0000FF"/>
      <name val="Arial"/>
      <family val="0"/>
      <charset val="1"/>
    </font>
    <font>
      <b val="true"/>
      <sz val="11"/>
      <color rgb="FF1F4E78"/>
      <name val="Arial"/>
      <family val="0"/>
      <charset val="1"/>
    </font>
    <font>
      <i val="true"/>
      <sz val="9"/>
      <color rgb="FF595959"/>
      <name val="Arial"/>
      <family val="0"/>
      <charset val="1"/>
    </font>
    <font>
      <b val="true"/>
      <sz val="10"/>
      <name val="Arial"/>
      <family val="0"/>
      <charset val="1"/>
    </font>
    <font>
      <sz val="10"/>
      <color rgb="FF008000"/>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FFFF00"/>
        <bgColor rgb="FFFFFF00"/>
      </patternFill>
    </fill>
    <fill>
      <patternFill patternType="solid">
        <fgColor rgb="FFF2F2F2"/>
        <bgColor rgb="FFFFFFFF"/>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5" fontId="7" fillId="3" borderId="1" xfId="0" applyFont="true" applyBorder="true" applyAlignment="true" applyProtection="false">
      <alignment horizontal="general" vertical="bottom" textRotation="0" wrapText="false" indent="0" shrinkToFit="false"/>
      <protection locked="true" hidden="false"/>
    </xf>
    <xf numFmtId="166" fontId="7" fillId="3"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7" fontId="7" fillId="3" borderId="1" xfId="0" applyFont="true" applyBorder="true" applyAlignment="true" applyProtection="false">
      <alignment horizontal="general" vertical="bottom" textRotation="0" wrapText="false" indent="0" shrinkToFit="false"/>
      <protection locked="true" hidden="false"/>
    </xf>
    <xf numFmtId="168" fontId="7" fillId="3"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69" fontId="0" fillId="0" borderId="1" xfId="0" applyFont="fals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6" fontId="11"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7" fontId="11" fillId="0" borderId="1" xfId="0" applyFont="true" applyBorder="true" applyAlignment="true" applyProtection="false">
      <alignment horizontal="general" vertical="bottom" textRotation="0" wrapText="false" indent="0" shrinkToFit="false"/>
      <protection locked="true" hidden="false"/>
    </xf>
    <xf numFmtId="165" fontId="11" fillId="0" borderId="1" xfId="0" applyFont="true" applyBorder="true" applyAlignment="tru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general" vertical="bottom" textRotation="0" wrapText="false" indent="0" shrinkToFit="false"/>
      <protection locked="true" hidden="false"/>
    </xf>
    <xf numFmtId="167" fontId="6" fillId="0" borderId="1" xfId="0" applyFont="true" applyBorder="true" applyAlignment="true" applyProtection="false">
      <alignment horizontal="general" vertical="bottom" textRotation="0" wrapText="false" indent="0" shrinkToFit="false"/>
      <protection locked="true" hidden="false"/>
    </xf>
    <xf numFmtId="167" fontId="10" fillId="0" borderId="1" xfId="0" applyFont="true" applyBorder="true" applyAlignment="tru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general" vertical="bottom" textRotation="0" wrapText="false" indent="0" shrinkToFit="false"/>
      <protection locked="true" hidden="false"/>
    </xf>
    <xf numFmtId="170" fontId="6" fillId="0" borderId="1" xfId="0" applyFont="true" applyBorder="true" applyAlignment="true" applyProtection="false">
      <alignment horizontal="general" vertical="bottom" textRotation="0" wrapText="false" indent="0" shrinkToFit="false"/>
      <protection locked="true" hidden="false"/>
    </xf>
    <xf numFmtId="166" fontId="11" fillId="0" borderId="1" xfId="0" applyFont="true" applyBorder="true" applyAlignment="true" applyProtection="false">
      <alignment horizontal="general" vertical="bottom" textRotation="0" wrapText="false" indent="0" shrinkToFit="false"/>
      <protection locked="true" hidden="false"/>
    </xf>
    <xf numFmtId="166" fontId="10" fillId="4" borderId="1" xfId="0" applyFont="true" applyBorder="true" applyAlignment="true" applyProtection="false">
      <alignment horizontal="general" vertical="bottom" textRotation="0" wrapText="false" indent="0" shrinkToFit="false"/>
      <protection locked="true" hidden="false"/>
    </xf>
    <xf numFmtId="170" fontId="11" fillId="0" borderId="1" xfId="0" applyFont="true" applyBorder="true" applyAlignment="true" applyProtection="false">
      <alignment horizontal="general" vertical="bottom" textRotation="0" wrapText="false" indent="0" shrinkToFit="false"/>
      <protection locked="true" hidden="false"/>
    </xf>
    <xf numFmtId="167" fontId="0" fillId="0" borderId="1" xfId="0" applyFont="false" applyBorder="true" applyAlignment="true" applyProtection="false">
      <alignment horizontal="general" vertical="bottom" textRotation="0" wrapText="false" indent="0" shrinkToFit="false"/>
      <protection locked="true" hidden="false"/>
    </xf>
    <xf numFmtId="171" fontId="0" fillId="0" borderId="1" xfId="0" applyFont="false" applyBorder="true" applyAlignment="true" applyProtection="false">
      <alignment horizontal="general" vertical="bottom" textRotation="0" wrapText="false" indent="0" shrinkToFit="false"/>
      <protection locked="true" hidden="false"/>
    </xf>
    <xf numFmtId="166" fontId="0" fillId="0" borderId="1" xfId="0" applyFont="fals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0"/>
        <color rgb="FF006100"/>
        <sz val="10"/>
      </font>
      <fill>
        <patternFill>
          <bgColor rgb="FFC6EFCE"/>
        </patternFill>
      </fill>
    </dxf>
    <dxf>
      <font>
        <name val="Arial"/>
        <charset val="1"/>
        <family val="0"/>
        <color rgb="FF9C0006"/>
        <sz val="10"/>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61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32"/>
    <col collapsed="false" customWidth="true" hidden="false" outlineLevel="0" max="2" min="2" style="1" width="14"/>
    <col collapsed="false" customWidth="true" hidden="false" outlineLevel="0" max="3" min="3" style="1" width="22"/>
    <col collapsed="false" customWidth="true" hidden="false" outlineLevel="0" max="4" min="4" style="1" width="24"/>
  </cols>
  <sheetData>
    <row r="1" customFormat="false" ht="21.75" hidden="false" customHeight="true" outlineLevel="0" collapsed="false">
      <c r="A1" s="2" t="s">
        <v>0</v>
      </c>
      <c r="B1" s="2"/>
      <c r="C1" s="2"/>
      <c r="D1" s="2"/>
    </row>
    <row r="3" customFormat="false" ht="15" hidden="false" customHeight="true" outlineLevel="0" collapsed="false">
      <c r="A3" s="3" t="s">
        <v>1</v>
      </c>
      <c r="B3" s="3" t="s">
        <v>2</v>
      </c>
      <c r="C3" s="3" t="s">
        <v>3</v>
      </c>
      <c r="D3" s="3" t="s">
        <v>4</v>
      </c>
    </row>
    <row r="4" customFormat="false" ht="15" hidden="false" customHeight="true" outlineLevel="0" collapsed="false">
      <c r="A4" s="4" t="s">
        <v>5</v>
      </c>
      <c r="B4" s="5" t="n">
        <v>64</v>
      </c>
      <c r="C4" s="4" t="s">
        <v>6</v>
      </c>
      <c r="D4" s="4" t="s">
        <v>7</v>
      </c>
    </row>
    <row r="5" customFormat="false" ht="15" hidden="false" customHeight="true" outlineLevel="0" collapsed="false">
      <c r="A5" s="4" t="s">
        <v>8</v>
      </c>
      <c r="B5" s="5" t="n">
        <v>36</v>
      </c>
      <c r="C5" s="4" t="s">
        <v>9</v>
      </c>
      <c r="D5" s="4" t="s">
        <v>7</v>
      </c>
    </row>
    <row r="6" customFormat="false" ht="15" hidden="false" customHeight="true" outlineLevel="0" collapsed="false">
      <c r="A6" s="4" t="s">
        <v>10</v>
      </c>
      <c r="B6" s="6" t="n">
        <v>20000</v>
      </c>
      <c r="C6" s="4" t="s">
        <v>11</v>
      </c>
      <c r="D6" s="4" t="s">
        <v>7</v>
      </c>
    </row>
    <row r="7" customFormat="false" ht="15" hidden="false" customHeight="true" outlineLevel="0" collapsed="false">
      <c r="A7" s="4" t="s">
        <v>12</v>
      </c>
      <c r="B7" s="5" t="n">
        <v>720</v>
      </c>
      <c r="C7" s="4" t="s">
        <v>13</v>
      </c>
      <c r="D7" s="4" t="s">
        <v>7</v>
      </c>
    </row>
    <row r="8" customFormat="false" ht="15" hidden="false" customHeight="true" outlineLevel="0" collapsed="false">
      <c r="A8" s="4" t="s">
        <v>14</v>
      </c>
      <c r="B8" s="6" t="n">
        <v>34.72</v>
      </c>
      <c r="C8" s="4" t="s">
        <v>15</v>
      </c>
      <c r="D8" s="4" t="s">
        <v>7</v>
      </c>
    </row>
    <row r="9" customFormat="false" ht="15" hidden="false" customHeight="true" outlineLevel="0" collapsed="false">
      <c r="A9" s="4" t="s">
        <v>16</v>
      </c>
      <c r="B9" s="5" t="n">
        <v>4</v>
      </c>
      <c r="C9" s="4" t="s">
        <v>17</v>
      </c>
      <c r="D9" s="4" t="s">
        <v>7</v>
      </c>
    </row>
    <row r="10" customFormat="false" ht="15" hidden="false" customHeight="true" outlineLevel="0" collapsed="false">
      <c r="A10" s="4" t="s">
        <v>18</v>
      </c>
      <c r="B10" s="5" t="n">
        <v>1440</v>
      </c>
      <c r="C10" s="4" t="s">
        <v>19</v>
      </c>
      <c r="D10" s="4" t="s">
        <v>7</v>
      </c>
    </row>
    <row r="11" customFormat="false" ht="15" hidden="false" customHeight="true" outlineLevel="0" collapsed="false">
      <c r="A11" s="4" t="s">
        <v>20</v>
      </c>
      <c r="B11" s="6" t="n">
        <v>17.36</v>
      </c>
      <c r="C11" s="4" t="s">
        <v>15</v>
      </c>
      <c r="D11" s="4" t="s">
        <v>7</v>
      </c>
    </row>
    <row r="13" customFormat="false" ht="15" hidden="false" customHeight="true" outlineLevel="0" collapsed="false">
      <c r="A13" s="7" t="s">
        <v>21</v>
      </c>
      <c r="B13" s="7"/>
      <c r="C13" s="7"/>
      <c r="D13" s="7"/>
    </row>
    <row r="14" customFormat="false" ht="15" hidden="false" customHeight="true" outlineLevel="0" collapsed="false">
      <c r="A14" s="4" t="s">
        <v>22</v>
      </c>
      <c r="B14" s="8" t="n">
        <v>20</v>
      </c>
      <c r="C14" s="4" t="s">
        <v>6</v>
      </c>
      <c r="D14" s="4" t="s">
        <v>7</v>
      </c>
    </row>
    <row r="15" customFormat="false" ht="15" hidden="false" customHeight="true" outlineLevel="0" collapsed="false">
      <c r="A15" s="4" t="s">
        <v>23</v>
      </c>
      <c r="B15" s="6" t="n">
        <v>8800</v>
      </c>
      <c r="C15" s="4" t="s">
        <v>24</v>
      </c>
      <c r="D15" s="4" t="s">
        <v>7</v>
      </c>
    </row>
    <row r="16" customFormat="false" ht="15" hidden="false" customHeight="true" outlineLevel="0" collapsed="false">
      <c r="A16" s="4" t="s">
        <v>25</v>
      </c>
      <c r="B16" s="8" t="n">
        <v>2.5</v>
      </c>
      <c r="C16" s="4" t="s">
        <v>26</v>
      </c>
      <c r="D16" s="4" t="s">
        <v>7</v>
      </c>
    </row>
    <row r="17" customFormat="false" ht="15" hidden="false" customHeight="true" outlineLevel="0" collapsed="false">
      <c r="A17" s="4" t="s">
        <v>27</v>
      </c>
      <c r="B17" s="6" t="n">
        <v>880</v>
      </c>
      <c r="C17" s="4" t="s">
        <v>24</v>
      </c>
      <c r="D17" s="4" t="s">
        <v>7</v>
      </c>
    </row>
    <row r="18" customFormat="false" ht="15" hidden="false" customHeight="true" outlineLevel="0" collapsed="false">
      <c r="A18" s="4" t="s">
        <v>28</v>
      </c>
      <c r="B18" s="9" t="n">
        <v>0.1</v>
      </c>
      <c r="C18" s="4" t="s">
        <v>29</v>
      </c>
      <c r="D18" s="4" t="s">
        <v>7</v>
      </c>
    </row>
    <row r="20" customFormat="false" ht="15" hidden="false" customHeight="true" outlineLevel="0" collapsed="false">
      <c r="A20" s="7" t="s">
        <v>30</v>
      </c>
      <c r="B20" s="7"/>
      <c r="C20" s="7"/>
      <c r="D20" s="7"/>
    </row>
    <row r="21" customFormat="false" ht="15" hidden="false" customHeight="true" outlineLevel="0" collapsed="false">
      <c r="A21" s="4" t="s">
        <v>31</v>
      </c>
      <c r="B21" s="8" t="n">
        <v>20</v>
      </c>
      <c r="C21" s="4" t="s">
        <v>6</v>
      </c>
      <c r="D21" s="4" t="s">
        <v>7</v>
      </c>
    </row>
    <row r="22" customFormat="false" ht="15" hidden="false" customHeight="true" outlineLevel="0" collapsed="false">
      <c r="A22" s="4" t="s">
        <v>32</v>
      </c>
      <c r="B22" s="6" t="n">
        <v>2094</v>
      </c>
      <c r="C22" s="4" t="s">
        <v>24</v>
      </c>
      <c r="D22" s="4" t="s">
        <v>7</v>
      </c>
    </row>
    <row r="23" customFormat="false" ht="15" hidden="false" customHeight="true" outlineLevel="0" collapsed="false">
      <c r="A23" s="4" t="s">
        <v>33</v>
      </c>
      <c r="B23" s="8" t="n">
        <v>0.833</v>
      </c>
      <c r="C23" s="4" t="s">
        <v>26</v>
      </c>
      <c r="D23" s="4" t="s">
        <v>7</v>
      </c>
    </row>
    <row r="24" customFormat="false" ht="15" hidden="false" customHeight="true" outlineLevel="0" collapsed="false">
      <c r="A24" s="4" t="s">
        <v>34</v>
      </c>
      <c r="B24" s="6" t="n">
        <v>440</v>
      </c>
      <c r="C24" s="4" t="s">
        <v>24</v>
      </c>
      <c r="D24" s="4" t="s">
        <v>7</v>
      </c>
    </row>
    <row r="25" customFormat="false" ht="15" hidden="false" customHeight="true" outlineLevel="0" collapsed="false">
      <c r="A25" s="4" t="s">
        <v>35</v>
      </c>
      <c r="B25" s="9" t="n">
        <v>0.025</v>
      </c>
      <c r="C25" s="4" t="s">
        <v>29</v>
      </c>
      <c r="D25" s="4" t="s">
        <v>7</v>
      </c>
    </row>
    <row r="27" customFormat="false" ht="15" hidden="false" customHeight="true" outlineLevel="0" collapsed="false">
      <c r="A27" s="7" t="s">
        <v>36</v>
      </c>
      <c r="B27" s="7"/>
      <c r="C27" s="7"/>
      <c r="D27" s="7"/>
    </row>
    <row r="28" customFormat="false" ht="15" hidden="false" customHeight="true" outlineLevel="0" collapsed="false">
      <c r="A28" s="4" t="s">
        <v>37</v>
      </c>
      <c r="B28" s="8" t="n">
        <v>30</v>
      </c>
      <c r="C28" s="4" t="s">
        <v>6</v>
      </c>
      <c r="D28" s="4" t="s">
        <v>7</v>
      </c>
    </row>
    <row r="29" customFormat="false" ht="15" hidden="false" customHeight="true" outlineLevel="0" collapsed="false">
      <c r="A29" s="4" t="s">
        <v>38</v>
      </c>
      <c r="B29" s="6" t="n">
        <v>2700</v>
      </c>
      <c r="C29" s="4" t="s">
        <v>24</v>
      </c>
      <c r="D29" s="4" t="s">
        <v>7</v>
      </c>
    </row>
    <row r="30" customFormat="false" ht="15" hidden="false" customHeight="true" outlineLevel="0" collapsed="false">
      <c r="A30" s="4" t="s">
        <v>39</v>
      </c>
      <c r="B30" s="8" t="n">
        <v>1.25</v>
      </c>
      <c r="C30" s="4" t="s">
        <v>26</v>
      </c>
      <c r="D30" s="4" t="s">
        <v>7</v>
      </c>
    </row>
    <row r="31" customFormat="false" ht="15" hidden="false" customHeight="true" outlineLevel="0" collapsed="false">
      <c r="A31" s="4" t="s">
        <v>40</v>
      </c>
      <c r="B31" s="6" t="n">
        <v>880</v>
      </c>
      <c r="C31" s="4" t="s">
        <v>24</v>
      </c>
      <c r="D31" s="4" t="s">
        <v>7</v>
      </c>
    </row>
    <row r="32" customFormat="false" ht="15" hidden="false" customHeight="true" outlineLevel="0" collapsed="false">
      <c r="A32" s="4" t="s">
        <v>41</v>
      </c>
      <c r="B32" s="9" t="n">
        <v>0.0125</v>
      </c>
      <c r="C32" s="4" t="s">
        <v>29</v>
      </c>
      <c r="D32" s="4" t="s">
        <v>7</v>
      </c>
    </row>
    <row r="34" customFormat="false" ht="15" hidden="false" customHeight="true" outlineLevel="0" collapsed="false">
      <c r="A34" s="4" t="s">
        <v>42</v>
      </c>
      <c r="B34" s="10" t="n">
        <f aca="false">B7+B9*B10</f>
        <v>6480</v>
      </c>
      <c r="C34" s="4" t="s">
        <v>13</v>
      </c>
      <c r="D34" s="4" t="s">
        <v>43</v>
      </c>
    </row>
    <row r="36" customFormat="false" ht="27.75" hidden="false" customHeight="true" outlineLevel="0" collapsed="false">
      <c r="A36" s="11" t="s">
        <v>44</v>
      </c>
      <c r="B36" s="11"/>
      <c r="C36" s="11"/>
      <c r="D36" s="11"/>
    </row>
  </sheetData>
  <mergeCells count="5">
    <mergeCell ref="A1:D1"/>
    <mergeCell ref="A13:D13"/>
    <mergeCell ref="A20:D20"/>
    <mergeCell ref="A27:D27"/>
    <mergeCell ref="A36:D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6"/>
    <col collapsed="false" customWidth="true" hidden="false" outlineLevel="0" max="2" min="2" style="1" width="20"/>
    <col collapsed="false" customWidth="true" hidden="false" outlineLevel="0" max="3" min="3" style="1" width="14"/>
    <col collapsed="false" customWidth="true" hidden="false" outlineLevel="0" max="4" min="4" style="1" width="16"/>
  </cols>
  <sheetData>
    <row r="1" customFormat="false" ht="21.75" hidden="false" customHeight="true" outlineLevel="0" collapsed="false">
      <c r="A1" s="2" t="s">
        <v>45</v>
      </c>
      <c r="B1" s="2"/>
      <c r="C1" s="2"/>
      <c r="D1" s="2"/>
    </row>
    <row r="3" customFormat="false" ht="90" hidden="false" customHeight="true" outlineLevel="0" collapsed="false">
      <c r="A3" s="11" t="s">
        <v>46</v>
      </c>
      <c r="B3" s="11"/>
      <c r="C3" s="11"/>
      <c r="D3" s="11"/>
    </row>
    <row r="6" customFormat="false" ht="15" hidden="false" customHeight="true" outlineLevel="0" collapsed="false">
      <c r="A6" s="3" t="s">
        <v>47</v>
      </c>
      <c r="B6" s="3" t="s">
        <v>48</v>
      </c>
      <c r="C6" s="3" t="s">
        <v>49</v>
      </c>
      <c r="D6" s="3" t="s">
        <v>50</v>
      </c>
    </row>
    <row r="7" customFormat="false" ht="15" hidden="false" customHeight="true" outlineLevel="0" collapsed="false">
      <c r="A7" s="4" t="s">
        <v>21</v>
      </c>
      <c r="B7" s="5" t="n">
        <v>10</v>
      </c>
      <c r="C7" s="12" t="n">
        <f aca="false">Tom_Limit</f>
        <v>20</v>
      </c>
      <c r="D7" s="13" t="n">
        <f aca="false">AND(B7&gt;=0,B7&lt;=C7)</f>
        <v>1</v>
      </c>
    </row>
    <row r="8" customFormat="false" ht="15" hidden="false" customHeight="true" outlineLevel="0" collapsed="false">
      <c r="A8" s="4" t="s">
        <v>30</v>
      </c>
      <c r="B8" s="5" t="n">
        <v>20</v>
      </c>
      <c r="C8" s="12" t="n">
        <f aca="false">Car_Limit</f>
        <v>20</v>
      </c>
      <c r="D8" s="13" t="n">
        <f aca="false">AND(B8&gt;=0,B8&lt;=C8)</f>
        <v>1</v>
      </c>
    </row>
    <row r="9" customFormat="false" ht="15" hidden="false" customHeight="true" outlineLevel="0" collapsed="false">
      <c r="A9" s="4" t="s">
        <v>36</v>
      </c>
      <c r="B9" s="5" t="n">
        <v>30</v>
      </c>
      <c r="C9" s="12" t="n">
        <f aca="false">Mes_Limit</f>
        <v>30</v>
      </c>
      <c r="D9" s="13" t="n">
        <f aca="false">AND(B9&gt;=0,B9&lt;=C9)</f>
        <v>1</v>
      </c>
    </row>
    <row r="10" customFormat="false" ht="15" hidden="false" customHeight="true" outlineLevel="0" collapsed="false">
      <c r="A10" s="14" t="s">
        <v>51</v>
      </c>
      <c r="B10" s="10" t="n">
        <f aca="false">SUM(B7:B9)</f>
        <v>60</v>
      </c>
      <c r="C10" s="12" t="n">
        <f aca="false">TotalBeds</f>
        <v>64</v>
      </c>
      <c r="D10" s="13" t="n">
        <f aca="false">B10&lt;=C10</f>
        <v>1</v>
      </c>
    </row>
    <row r="12" customFormat="false" ht="15" hidden="false" customHeight="true" outlineLevel="0" collapsed="false">
      <c r="A12" s="15" t="s">
        <v>52</v>
      </c>
      <c r="B12" s="16" t="n">
        <f aca="false">SeasonProfit</f>
        <v>42775.1553877422</v>
      </c>
    </row>
    <row r="14" customFormat="false" ht="39.75" hidden="false" customHeight="true" outlineLevel="0" collapsed="false">
      <c r="A14" s="11" t="s">
        <v>53</v>
      </c>
      <c r="B14" s="11"/>
      <c r="C14" s="11"/>
      <c r="D14" s="11"/>
    </row>
    <row r="16" customFormat="false" ht="15" hidden="false" customHeight="true" outlineLevel="0" collapsed="false">
      <c r="A16" s="17" t="s">
        <v>54</v>
      </c>
    </row>
    <row r="17" customFormat="false" ht="15" hidden="false" customHeight="true" outlineLevel="0" collapsed="false">
      <c r="A17" s="4" t="s">
        <v>55</v>
      </c>
      <c r="B17" s="18" t="n">
        <f aca="false">TotalLaborRequired</f>
        <v>5276.82284632822</v>
      </c>
    </row>
    <row r="18" customFormat="false" ht="15" hidden="false" customHeight="true" outlineLevel="0" collapsed="false">
      <c r="A18" s="4" t="s">
        <v>56</v>
      </c>
      <c r="B18" s="18" t="n">
        <f aca="false">TotalLaborCapacity</f>
        <v>6480</v>
      </c>
    </row>
    <row r="19" customFormat="false" ht="15" hidden="false" customHeight="true" outlineLevel="0" collapsed="false">
      <c r="A19" s="4" t="s">
        <v>57</v>
      </c>
      <c r="B19" s="19" t="n">
        <f aca="false">MaxLaborCapacity</f>
        <v>6480</v>
      </c>
    </row>
    <row r="20" customFormat="false" ht="15" hidden="false" customHeight="true" outlineLevel="0" collapsed="false">
      <c r="A20" s="4" t="s">
        <v>58</v>
      </c>
      <c r="B20" s="19" t="n">
        <f aca="false">TempWorkersNeeded</f>
        <v>4</v>
      </c>
    </row>
    <row r="21" customFormat="false" ht="15" hidden="false" customHeight="true" outlineLevel="0" collapsed="false">
      <c r="A21" s="4" t="s">
        <v>16</v>
      </c>
      <c r="B21" s="19" t="n">
        <f aca="false">MaxTempWorkers</f>
        <v>4</v>
      </c>
    </row>
  </sheetData>
  <mergeCells count="3">
    <mergeCell ref="A1:D1"/>
    <mergeCell ref="A3:D3"/>
    <mergeCell ref="A14:D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34"/>
    <col collapsed="false" customWidth="true" hidden="false" outlineLevel="0" max="2" min="2" style="1" width="16"/>
    <col collapsed="false" customWidth="true" hidden="false" outlineLevel="0" max="3" min="3" style="1" width="4"/>
    <col collapsed="false" customWidth="true" hidden="false" outlineLevel="0" max="4" min="4" style="1" width="34"/>
    <col collapsed="false" customWidth="true" hidden="false" outlineLevel="0" max="5" min="5" style="1" width="16"/>
  </cols>
  <sheetData>
    <row r="1" customFormat="false" ht="21.75" hidden="false" customHeight="true" outlineLevel="0" collapsed="false">
      <c r="A1" s="2" t="s">
        <v>59</v>
      </c>
      <c r="B1" s="2"/>
      <c r="C1" s="2"/>
      <c r="D1" s="2"/>
      <c r="E1" s="2"/>
    </row>
    <row r="3" customFormat="false" ht="15" hidden="false" customHeight="true" outlineLevel="0" collapsed="false">
      <c r="A3" s="20" t="s">
        <v>60</v>
      </c>
      <c r="B3" s="20"/>
    </row>
    <row r="4" customFormat="false" ht="15" hidden="false" customHeight="true" outlineLevel="0" collapsed="false">
      <c r="A4" s="4" t="s">
        <v>61</v>
      </c>
      <c r="B4" s="19" t="n">
        <f aca="false">TomatoBeds</f>
        <v>10</v>
      </c>
    </row>
    <row r="5" customFormat="false" ht="15" hidden="false" customHeight="true" outlineLevel="0" collapsed="false">
      <c r="A5" s="4" t="s">
        <v>62</v>
      </c>
      <c r="B5" s="19" t="n">
        <f aca="false">CarrotBeds</f>
        <v>20</v>
      </c>
    </row>
    <row r="6" customFormat="false" ht="15" hidden="false" customHeight="true" outlineLevel="0" collapsed="false">
      <c r="A6" s="4" t="s">
        <v>63</v>
      </c>
      <c r="B6" s="19" t="n">
        <f aca="false">MesclunBeds</f>
        <v>30</v>
      </c>
    </row>
    <row r="7" customFormat="false" ht="15" hidden="false" customHeight="true" outlineLevel="0" collapsed="false">
      <c r="A7" s="14" t="s">
        <v>51</v>
      </c>
      <c r="B7" s="19" t="n">
        <f aca="false">TotalBedsUsed</f>
        <v>60</v>
      </c>
    </row>
    <row r="9" customFormat="false" ht="15" hidden="false" customHeight="true" outlineLevel="0" collapsed="false">
      <c r="A9" s="20" t="s">
        <v>64</v>
      </c>
      <c r="B9" s="20"/>
    </row>
    <row r="10" customFormat="false" ht="15" hidden="false" customHeight="true" outlineLevel="0" collapsed="false">
      <c r="A10" s="4" t="s">
        <v>65</v>
      </c>
      <c r="B10" s="21" t="n">
        <f aca="false">IF(TomatoBeds=0,0,TomatoBeds*Tom_BaseLabor*SeasonLength*(1+Tom_DR)^TomatoBeds)</f>
        <v>2334.36821409</v>
      </c>
    </row>
    <row r="11" customFormat="false" ht="15" hidden="false" customHeight="true" outlineLevel="0" collapsed="false">
      <c r="A11" s="4" t="s">
        <v>66</v>
      </c>
      <c r="B11" s="21" t="n">
        <f aca="false">IF(CarrotBeds=0,0,CarrotBeds*Car_BaseLabor*SeasonLength*(1+Car_DR)^CarrotBeds)</f>
        <v>982.776596228567</v>
      </c>
    </row>
    <row r="12" customFormat="false" ht="15" hidden="false" customHeight="true" outlineLevel="0" collapsed="false">
      <c r="A12" s="4" t="s">
        <v>67</v>
      </c>
      <c r="B12" s="21" t="n">
        <f aca="false">IF(MesclunBeds=0,0,MesclunBeds*Mes_BaseLabor*SeasonLength*(1+Mes_DR)^MesclunBeds)</f>
        <v>1959.67803600965</v>
      </c>
    </row>
    <row r="13" customFormat="false" ht="15" hidden="false" customHeight="true" outlineLevel="0" collapsed="false">
      <c r="A13" s="14" t="s">
        <v>68</v>
      </c>
      <c r="B13" s="22" t="n">
        <f aca="false">TomatoLaborHours+CarrotLaborHours+MesclunLaborHours</f>
        <v>5276.82284632822</v>
      </c>
    </row>
    <row r="14" customFormat="false" ht="15" hidden="false" customHeight="true" outlineLevel="0" collapsed="false">
      <c r="A14" s="4" t="s">
        <v>69</v>
      </c>
      <c r="B14" s="21" t="n">
        <f aca="false">MIN(TotalLaborRequired,FarmerHours)</f>
        <v>720</v>
      </c>
    </row>
    <row r="15" customFormat="false" ht="15" hidden="false" customHeight="true" outlineLevel="0" collapsed="false">
      <c r="A15" s="4" t="s">
        <v>70</v>
      </c>
      <c r="B15" s="21" t="n">
        <f aca="false">MAX(TotalLaborRequired-FarmerHours,0)</f>
        <v>4556.82284632822</v>
      </c>
    </row>
    <row r="16" customFormat="false" ht="15" hidden="false" customHeight="true" outlineLevel="0" collapsed="false">
      <c r="A16" s="4" t="s">
        <v>58</v>
      </c>
      <c r="B16" s="10" t="n">
        <f aca="false">IF(TempLaborHoursNeeded=0,0,MIN(MaxTempWorkers,ROUNDUP(TempLaborHoursNeeded/TempWorkerHours,0)))</f>
        <v>4</v>
      </c>
    </row>
    <row r="17" customFormat="false" ht="15" hidden="false" customHeight="true" outlineLevel="0" collapsed="false">
      <c r="A17" s="4" t="s">
        <v>71</v>
      </c>
      <c r="B17" s="21" t="n">
        <f aca="false">FarmerHours+TempWorkersNeeded*TempWorkerHours</f>
        <v>6480</v>
      </c>
    </row>
    <row r="18" customFormat="false" ht="15" hidden="false" customHeight="true" outlineLevel="0" collapsed="false">
      <c r="A18" s="4" t="s">
        <v>72</v>
      </c>
      <c r="B18" s="21" t="n">
        <f aca="false">TotalLaborCapacity-TotalLaborRequired</f>
        <v>1203.17715367179</v>
      </c>
    </row>
    <row r="20" customFormat="false" ht="15" hidden="false" customHeight="true" outlineLevel="0" collapsed="false">
      <c r="A20" s="20" t="s">
        <v>73</v>
      </c>
      <c r="B20" s="20"/>
    </row>
    <row r="21" customFormat="false" ht="15" hidden="false" customHeight="true" outlineLevel="0" collapsed="false">
      <c r="A21" s="4" t="s">
        <v>74</v>
      </c>
      <c r="B21" s="23" t="n">
        <f aca="false">FarmerHoursUsed*FarmerRate</f>
        <v>24998.4</v>
      </c>
    </row>
    <row r="22" customFormat="false" ht="15" hidden="false" customHeight="true" outlineLevel="0" collapsed="false">
      <c r="A22" s="4" t="s">
        <v>75</v>
      </c>
      <c r="B22" s="23" t="n">
        <f aca="false">TempLaborHoursNeeded*TempRate</f>
        <v>79106.4446122578</v>
      </c>
    </row>
    <row r="23" customFormat="false" ht="15" hidden="false" customHeight="true" outlineLevel="0" collapsed="false">
      <c r="A23" s="14" t="s">
        <v>76</v>
      </c>
      <c r="B23" s="24" t="n">
        <f aca="false">FarmerLaborCost+TempLaborCost</f>
        <v>104104.844612258</v>
      </c>
    </row>
    <row r="24" customFormat="false" ht="15" hidden="false" customHeight="true" outlineLevel="0" collapsed="false">
      <c r="A24" s="4" t="s">
        <v>77</v>
      </c>
      <c r="B24" s="25" t="n">
        <f aca="false">IF(TotalLaborRequired=0,0,TotalLaborCost/TotalLaborRequired)</f>
        <v>19.7286980525976</v>
      </c>
    </row>
    <row r="25" customFormat="false" ht="15" hidden="false" customHeight="true" outlineLevel="0" collapsed="false">
      <c r="A25" s="4" t="s">
        <v>27</v>
      </c>
      <c r="B25" s="23" t="n">
        <f aca="false">TomatoBeds*Tom_Fert</f>
        <v>8800</v>
      </c>
    </row>
    <row r="26" customFormat="false" ht="15" hidden="false" customHeight="true" outlineLevel="0" collapsed="false">
      <c r="A26" s="4" t="s">
        <v>34</v>
      </c>
      <c r="B26" s="23" t="n">
        <f aca="false">CarrotBeds*Car_Fert</f>
        <v>8800</v>
      </c>
    </row>
    <row r="27" customFormat="false" ht="15" hidden="false" customHeight="true" outlineLevel="0" collapsed="false">
      <c r="A27" s="4" t="s">
        <v>40</v>
      </c>
      <c r="B27" s="23" t="n">
        <f aca="false">MesclunBeds*Mes_Fert</f>
        <v>26400</v>
      </c>
    </row>
    <row r="28" customFormat="false" ht="15" hidden="false" customHeight="true" outlineLevel="0" collapsed="false">
      <c r="A28" s="14" t="s">
        <v>78</v>
      </c>
      <c r="B28" s="24" t="n">
        <f aca="false">TomatoFertilizerCost+CarrotFertilizerCost+MesclunFertilizerCost</f>
        <v>44000</v>
      </c>
    </row>
    <row r="29" customFormat="false" ht="15" hidden="false" customHeight="true" outlineLevel="0" collapsed="false">
      <c r="A29" s="4" t="s">
        <v>10</v>
      </c>
      <c r="B29" s="26" t="n">
        <f aca="false">FixedCosts</f>
        <v>20000</v>
      </c>
    </row>
    <row r="30" customFormat="false" ht="15" hidden="false" customHeight="true" outlineLevel="0" collapsed="false">
      <c r="A30" s="14" t="s">
        <v>79</v>
      </c>
      <c r="B30" s="24" t="n">
        <f aca="false">FixedCosts+TotalFertilizerCost+TotalLaborCost</f>
        <v>168104.844612258</v>
      </c>
    </row>
    <row r="32" customFormat="false" ht="15" hidden="false" customHeight="true" outlineLevel="0" collapsed="false">
      <c r="A32" s="20" t="s">
        <v>80</v>
      </c>
      <c r="B32" s="20"/>
    </row>
    <row r="33" customFormat="false" ht="15" hidden="false" customHeight="true" outlineLevel="0" collapsed="false">
      <c r="A33" s="4" t="s">
        <v>81</v>
      </c>
      <c r="B33" s="23" t="n">
        <f aca="false">TomatoBeds*Tom_Rev</f>
        <v>88000</v>
      </c>
    </row>
    <row r="34" customFormat="false" ht="15" hidden="false" customHeight="true" outlineLevel="0" collapsed="false">
      <c r="A34" s="4" t="s">
        <v>82</v>
      </c>
      <c r="B34" s="23" t="n">
        <f aca="false">CarrotBeds*Car_Rev</f>
        <v>41880</v>
      </c>
    </row>
    <row r="35" customFormat="false" ht="15" hidden="false" customHeight="true" outlineLevel="0" collapsed="false">
      <c r="A35" s="4" t="s">
        <v>83</v>
      </c>
      <c r="B35" s="23" t="n">
        <f aca="false">MesclunBeds*Mes_Rev</f>
        <v>81000</v>
      </c>
    </row>
    <row r="36" customFormat="false" ht="15" hidden="false" customHeight="true" outlineLevel="0" collapsed="false">
      <c r="A36" s="14" t="s">
        <v>84</v>
      </c>
      <c r="B36" s="24" t="n">
        <f aca="false">TomatoRevenue+CarrotRevenue+MesclunRevenue</f>
        <v>210880</v>
      </c>
    </row>
    <row r="38" customFormat="false" ht="15" hidden="false" customHeight="true" outlineLevel="0" collapsed="false">
      <c r="A38" s="20" t="s">
        <v>85</v>
      </c>
      <c r="B38" s="20"/>
    </row>
    <row r="39" customFormat="false" ht="15" hidden="false" customHeight="true" outlineLevel="0" collapsed="false">
      <c r="A39" s="14" t="s">
        <v>86</v>
      </c>
      <c r="B39" s="27" t="n">
        <f aca="false">TotalRevenue-TotalCost</f>
        <v>42775.1553877422</v>
      </c>
    </row>
  </sheetData>
  <mergeCells count="6">
    <mergeCell ref="A1:E1"/>
    <mergeCell ref="A3:B3"/>
    <mergeCell ref="A9:B9"/>
    <mergeCell ref="A20:B20"/>
    <mergeCell ref="A32:B32"/>
    <mergeCell ref="A38:B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30"/>
    <col collapsed="false" customWidth="true" hidden="false" outlineLevel="0" max="2" min="2" style="1" width="18"/>
    <col collapsed="false" customWidth="true" hidden="false" outlineLevel="0" max="3" min="3" style="1" width="30"/>
    <col collapsed="false" customWidth="true" hidden="false" outlineLevel="0" max="4" min="4" style="1" width="18"/>
  </cols>
  <sheetData>
    <row r="1" customFormat="false" ht="21.75" hidden="false" customHeight="true" outlineLevel="0" collapsed="false">
      <c r="A1" s="2" t="s">
        <v>87</v>
      </c>
      <c r="B1" s="2"/>
      <c r="C1" s="2"/>
      <c r="D1" s="2"/>
    </row>
    <row r="3" customFormat="false" ht="15" hidden="false" customHeight="true" outlineLevel="0" collapsed="false">
      <c r="A3" s="7" t="s">
        <v>88</v>
      </c>
      <c r="B3" s="7"/>
      <c r="C3" s="7" t="s">
        <v>64</v>
      </c>
      <c r="D3" s="7"/>
    </row>
    <row r="4" customFormat="false" ht="15" hidden="false" customHeight="true" outlineLevel="0" collapsed="false">
      <c r="A4" s="4" t="s">
        <v>61</v>
      </c>
      <c r="B4" s="19" t="n">
        <f aca="false">TomatoBeds</f>
        <v>10</v>
      </c>
      <c r="C4" s="4" t="s">
        <v>65</v>
      </c>
      <c r="D4" s="18" t="n">
        <f aca="false">'Cost Structure'!B10</f>
        <v>2334.36821409</v>
      </c>
    </row>
    <row r="5" customFormat="false" ht="15" hidden="false" customHeight="true" outlineLevel="0" collapsed="false">
      <c r="A5" s="4" t="s">
        <v>62</v>
      </c>
      <c r="B5" s="19" t="n">
        <f aca="false">CarrotBeds</f>
        <v>20</v>
      </c>
      <c r="C5" s="4" t="s">
        <v>66</v>
      </c>
      <c r="D5" s="18" t="n">
        <f aca="false">'Cost Structure'!B11</f>
        <v>982.776596228567</v>
      </c>
    </row>
    <row r="6" customFormat="false" ht="15" hidden="false" customHeight="true" outlineLevel="0" collapsed="false">
      <c r="A6" s="4" t="s">
        <v>63</v>
      </c>
      <c r="B6" s="19" t="n">
        <f aca="false">MesclunBeds</f>
        <v>30</v>
      </c>
      <c r="C6" s="4" t="s">
        <v>67</v>
      </c>
      <c r="D6" s="18" t="n">
        <f aca="false">'Cost Structure'!B12</f>
        <v>1959.67803600965</v>
      </c>
    </row>
    <row r="7" customFormat="false" ht="15" hidden="false" customHeight="true" outlineLevel="0" collapsed="false">
      <c r="A7" s="14" t="s">
        <v>51</v>
      </c>
      <c r="B7" s="19" t="n">
        <f aca="false">TotalBedsUsed</f>
        <v>60</v>
      </c>
      <c r="C7" s="14" t="s">
        <v>68</v>
      </c>
      <c r="D7" s="18" t="n">
        <f aca="false">TotalLaborRequired</f>
        <v>5276.82284632822</v>
      </c>
    </row>
    <row r="8" customFormat="false" ht="15" hidden="false" customHeight="true" outlineLevel="0" collapsed="false">
      <c r="C8" s="4" t="s">
        <v>69</v>
      </c>
      <c r="D8" s="18" t="n">
        <f aca="false">'Cost Structure'!B14</f>
        <v>720</v>
      </c>
    </row>
    <row r="9" customFormat="false" ht="15" hidden="false" customHeight="true" outlineLevel="0" collapsed="false">
      <c r="A9" s="7" t="s">
        <v>80</v>
      </c>
      <c r="B9" s="7"/>
      <c r="C9" s="4" t="s">
        <v>70</v>
      </c>
      <c r="D9" s="18" t="n">
        <f aca="false">'Cost Structure'!B15</f>
        <v>4556.82284632822</v>
      </c>
    </row>
    <row r="10" customFormat="false" ht="15" hidden="false" customHeight="true" outlineLevel="0" collapsed="false">
      <c r="A10" s="4" t="s">
        <v>81</v>
      </c>
      <c r="B10" s="26" t="n">
        <f aca="false">'Cost Structure'!B33</f>
        <v>88000</v>
      </c>
      <c r="C10" s="4" t="s">
        <v>58</v>
      </c>
      <c r="D10" s="19" t="n">
        <f aca="false">TempWorkersNeeded</f>
        <v>4</v>
      </c>
    </row>
    <row r="11" customFormat="false" ht="15" hidden="false" customHeight="true" outlineLevel="0" collapsed="false">
      <c r="A11" s="4" t="s">
        <v>82</v>
      </c>
      <c r="B11" s="26" t="n">
        <f aca="false">'Cost Structure'!B34</f>
        <v>41880</v>
      </c>
      <c r="C11" s="4" t="s">
        <v>71</v>
      </c>
      <c r="D11" s="18" t="n">
        <f aca="false">TotalLaborCapacity</f>
        <v>6480</v>
      </c>
    </row>
    <row r="12" customFormat="false" ht="15" hidden="false" customHeight="true" outlineLevel="0" collapsed="false">
      <c r="A12" s="4" t="s">
        <v>83</v>
      </c>
      <c r="B12" s="26" t="n">
        <f aca="false">'Cost Structure'!B35</f>
        <v>81000</v>
      </c>
      <c r="C12" s="4" t="s">
        <v>72</v>
      </c>
      <c r="D12" s="18" t="n">
        <f aca="false">'Cost Structure'!B18</f>
        <v>1203.17715367179</v>
      </c>
    </row>
    <row r="13" customFormat="false" ht="15" hidden="false" customHeight="true" outlineLevel="0" collapsed="false">
      <c r="A13" s="14" t="s">
        <v>84</v>
      </c>
      <c r="B13" s="26" t="n">
        <f aca="false">'Cost Structure'!B36</f>
        <v>210880</v>
      </c>
    </row>
    <row r="14" customFormat="false" ht="15" hidden="false" customHeight="true" outlineLevel="0" collapsed="false">
      <c r="C14" s="7" t="s">
        <v>73</v>
      </c>
      <c r="D14" s="7"/>
    </row>
    <row r="15" customFormat="false" ht="15" hidden="false" customHeight="true" outlineLevel="0" collapsed="false">
      <c r="A15" s="7" t="s">
        <v>85</v>
      </c>
      <c r="B15" s="7"/>
      <c r="C15" s="4" t="s">
        <v>27</v>
      </c>
      <c r="D15" s="26" t="n">
        <f aca="false">'Cost Structure'!B25</f>
        <v>8800</v>
      </c>
    </row>
    <row r="16" customFormat="false" ht="15" hidden="false" customHeight="true" outlineLevel="0" collapsed="false">
      <c r="A16" s="14" t="s">
        <v>86</v>
      </c>
      <c r="B16" s="26" t="n">
        <f aca="false">SeasonProfit</f>
        <v>42775.1553877422</v>
      </c>
      <c r="C16" s="4" t="s">
        <v>34</v>
      </c>
      <c r="D16" s="26" t="n">
        <f aca="false">'Cost Structure'!B26</f>
        <v>8800</v>
      </c>
    </row>
    <row r="17" customFormat="false" ht="15" hidden="false" customHeight="true" outlineLevel="0" collapsed="false">
      <c r="C17" s="4" t="s">
        <v>40</v>
      </c>
      <c r="D17" s="26" t="n">
        <f aca="false">'Cost Structure'!B27</f>
        <v>26400</v>
      </c>
    </row>
    <row r="18" customFormat="false" ht="15" hidden="false" customHeight="true" outlineLevel="0" collapsed="false">
      <c r="C18" s="14" t="s">
        <v>78</v>
      </c>
      <c r="D18" s="26" t="n">
        <f aca="false">'Cost Structure'!B28</f>
        <v>44000</v>
      </c>
    </row>
    <row r="19" customFormat="false" ht="15" hidden="false" customHeight="true" outlineLevel="0" collapsed="false">
      <c r="C19" s="4" t="s">
        <v>74</v>
      </c>
      <c r="D19" s="26" t="n">
        <f aca="false">'Cost Structure'!B21</f>
        <v>24998.4</v>
      </c>
    </row>
    <row r="20" customFormat="false" ht="15" hidden="false" customHeight="true" outlineLevel="0" collapsed="false">
      <c r="C20" s="4" t="s">
        <v>75</v>
      </c>
      <c r="D20" s="26" t="n">
        <f aca="false">'Cost Structure'!B22</f>
        <v>79106.4446122578</v>
      </c>
    </row>
    <row r="21" customFormat="false" ht="15" hidden="false" customHeight="true" outlineLevel="0" collapsed="false">
      <c r="C21" s="14" t="s">
        <v>76</v>
      </c>
      <c r="D21" s="26" t="n">
        <f aca="false">'Cost Structure'!B23</f>
        <v>104104.844612258</v>
      </c>
    </row>
    <row r="22" customFormat="false" ht="15" hidden="false" customHeight="true" outlineLevel="0" collapsed="false">
      <c r="C22" s="4" t="s">
        <v>77</v>
      </c>
      <c r="D22" s="28" t="n">
        <f aca="false">'Cost Structure'!B24</f>
        <v>19.7286980525976</v>
      </c>
    </row>
    <row r="23" customFormat="false" ht="15" hidden="false" customHeight="true" outlineLevel="0" collapsed="false">
      <c r="C23" s="4" t="s">
        <v>10</v>
      </c>
      <c r="D23" s="26" t="n">
        <f aca="false">'Cost Structure'!B29</f>
        <v>20000</v>
      </c>
    </row>
    <row r="24" customFormat="false" ht="15" hidden="false" customHeight="true" outlineLevel="0" collapsed="false">
      <c r="C24" s="14" t="s">
        <v>89</v>
      </c>
      <c r="D24" s="26" t="n">
        <f aca="false">'Cost Structure'!B30</f>
        <v>168104.844612258</v>
      </c>
    </row>
  </sheetData>
  <mergeCells count="6">
    <mergeCell ref="A1:D1"/>
    <mergeCell ref="A3:B3"/>
    <mergeCell ref="C3:D3"/>
    <mergeCell ref="A9:B9"/>
    <mergeCell ref="C14:D14"/>
    <mergeCell ref="A15:B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8"/>
    <col collapsed="false" customWidth="true" hidden="false" outlineLevel="0" max="2" min="2" style="1" width="13"/>
    <col collapsed="false" customWidth="true" hidden="false" outlineLevel="0" max="3" min="3" style="1" width="15"/>
    <col collapsed="false" customWidth="true" hidden="false" outlineLevel="0" max="4" min="4" style="1" width="13"/>
    <col collapsed="false" customWidth="true" hidden="false" outlineLevel="0" max="5" min="5" style="1" width="14"/>
    <col collapsed="false" customWidth="true" hidden="false" outlineLevel="0" max="6" min="6" style="1" width="11"/>
    <col collapsed="false" customWidth="true" hidden="false" outlineLevel="0" max="7" min="7" style="1" width="14"/>
    <col collapsed="false" customWidth="true" hidden="false" outlineLevel="0" max="8" min="8" style="1" width="13"/>
    <col collapsed="false" customWidth="true" hidden="false" outlineLevel="0" max="9" min="9" style="1" width="12"/>
    <col collapsed="false" customWidth="true" hidden="false" outlineLevel="0" max="10" min="10" style="1" width="14"/>
    <col collapsed="false" customWidth="true" hidden="false" outlineLevel="0" max="11" min="11" style="1" width="16"/>
    <col collapsed="false" customWidth="true" hidden="false" outlineLevel="0" max="13" min="12" style="1" width="13"/>
    <col collapsed="false" customWidth="true" hidden="false" outlineLevel="0" max="14" min="14" style="1" width="11"/>
    <col collapsed="false" customWidth="true" hidden="false" outlineLevel="0" max="15" min="15" style="1" width="14"/>
  </cols>
  <sheetData>
    <row r="1" customFormat="false" ht="21.75" hidden="false" customHeight="true" outlineLevel="0" collapsed="false">
      <c r="A1" s="2" t="s">
        <v>90</v>
      </c>
      <c r="B1" s="2"/>
      <c r="C1" s="2"/>
      <c r="D1" s="2"/>
      <c r="E1" s="2"/>
      <c r="F1" s="2"/>
      <c r="G1" s="2"/>
      <c r="H1" s="2"/>
      <c r="I1" s="2"/>
      <c r="J1" s="2"/>
      <c r="K1" s="2"/>
      <c r="L1" s="2"/>
      <c r="M1" s="2"/>
      <c r="N1" s="2"/>
      <c r="O1" s="2"/>
    </row>
    <row r="2" customFormat="false" ht="42" hidden="false" customHeight="true" outlineLevel="0" collapsed="false">
      <c r="A2" s="11" t="s">
        <v>91</v>
      </c>
      <c r="B2" s="11"/>
      <c r="C2" s="11"/>
      <c r="D2" s="11"/>
      <c r="E2" s="11"/>
      <c r="F2" s="11"/>
      <c r="G2" s="11"/>
      <c r="H2" s="11"/>
      <c r="I2" s="11"/>
      <c r="J2" s="11"/>
      <c r="K2" s="11"/>
      <c r="L2" s="11"/>
      <c r="M2" s="11"/>
      <c r="N2" s="11"/>
      <c r="O2" s="11"/>
    </row>
    <row r="5" customFormat="false" ht="23.25" hidden="false" customHeight="true" outlineLevel="0" collapsed="false">
      <c r="A5" s="3" t="s">
        <v>92</v>
      </c>
      <c r="B5" s="3" t="s">
        <v>93</v>
      </c>
      <c r="C5" s="3" t="s">
        <v>69</v>
      </c>
      <c r="D5" s="3" t="s">
        <v>94</v>
      </c>
      <c r="E5" s="3" t="s">
        <v>95</v>
      </c>
      <c r="F5" s="3" t="s">
        <v>96</v>
      </c>
      <c r="G5" s="3" t="s">
        <v>74</v>
      </c>
      <c r="H5" s="3" t="s">
        <v>97</v>
      </c>
      <c r="I5" s="3" t="s">
        <v>98</v>
      </c>
      <c r="J5" s="3" t="s">
        <v>76</v>
      </c>
      <c r="K5" s="3" t="s">
        <v>99</v>
      </c>
      <c r="L5" s="3" t="s">
        <v>100</v>
      </c>
      <c r="M5" s="3" t="s">
        <v>101</v>
      </c>
      <c r="N5" s="3" t="s">
        <v>102</v>
      </c>
      <c r="O5" s="3" t="s">
        <v>103</v>
      </c>
    </row>
    <row r="6" customFormat="false" ht="15" hidden="false" customHeight="true" outlineLevel="0" collapsed="false">
      <c r="A6" s="12" t="n">
        <v>0</v>
      </c>
      <c r="B6" s="29" t="n">
        <f aca="false">IF($A6=0,0,$A6*Tom_BaseLabor*SeasonLength*(1+Tom_DR)^$A6)</f>
        <v>0</v>
      </c>
      <c r="C6" s="29" t="n">
        <f aca="false">MIN(B6,FarmerHours)</f>
        <v>0</v>
      </c>
      <c r="D6" s="29" t="n">
        <f aca="false">MAX(B6-FarmerHours,0)</f>
        <v>0</v>
      </c>
      <c r="E6" s="12" t="n">
        <f aca="false">IF(D6=0,0,ROUNDUP(D6/TempWorkerHours,0))</f>
        <v>0</v>
      </c>
      <c r="F6" s="30" t="b">
        <f aca="false">AND(B6&lt;=MaxLaborCapacity,E6&lt;=MaxTempWorkers)</f>
        <v>1</v>
      </c>
      <c r="G6" s="31" t="n">
        <f aca="false">C6*FarmerRate</f>
        <v>0</v>
      </c>
      <c r="H6" s="31" t="n">
        <f aca="false">D6*TempRate</f>
        <v>0</v>
      </c>
      <c r="I6" s="31" t="n">
        <f aca="false">$A6*Tom_Fert</f>
        <v>0</v>
      </c>
      <c r="J6" s="31" t="n">
        <f aca="false">G6+H6</f>
        <v>0</v>
      </c>
      <c r="K6" s="31" t="n">
        <f aca="false">FixedCosts+I6+J6</f>
        <v>20000</v>
      </c>
      <c r="L6" s="32"/>
      <c r="M6" s="31" t="n">
        <f aca="false">Tom_Rev</f>
        <v>8800</v>
      </c>
      <c r="N6" s="32"/>
      <c r="O6" s="32"/>
    </row>
    <row r="7" customFormat="false" ht="15" hidden="false" customHeight="true" outlineLevel="0" collapsed="false">
      <c r="A7" s="12" t="n">
        <v>1</v>
      </c>
      <c r="B7" s="29" t="n">
        <f aca="false">IF($A7=0,0,$A7*Tom_BaseLabor*SeasonLength*(1+Tom_DR)^$A7)</f>
        <v>99</v>
      </c>
      <c r="C7" s="29" t="n">
        <f aca="false">MIN(B7,FarmerHours)</f>
        <v>99</v>
      </c>
      <c r="D7" s="29" t="n">
        <f aca="false">MAX(B7-FarmerHours,0)</f>
        <v>0</v>
      </c>
      <c r="E7" s="12" t="n">
        <f aca="false">IF(D7=0,0,ROUNDUP(D7/TempWorkerHours,0))</f>
        <v>0</v>
      </c>
      <c r="F7" s="30" t="b">
        <f aca="false">AND(B7&lt;=MaxLaborCapacity,E7&lt;=MaxTempWorkers)</f>
        <v>1</v>
      </c>
      <c r="G7" s="31" t="n">
        <f aca="false">C7*FarmerRate</f>
        <v>3437.28</v>
      </c>
      <c r="H7" s="31" t="n">
        <f aca="false">D7*TempRate</f>
        <v>0</v>
      </c>
      <c r="I7" s="31" t="n">
        <f aca="false">$A7*Tom_Fert</f>
        <v>880</v>
      </c>
      <c r="J7" s="31" t="n">
        <f aca="false">G7+H7</f>
        <v>3437.28</v>
      </c>
      <c r="K7" s="31" t="n">
        <f aca="false">FixedCosts+I7+J7</f>
        <v>24317.28</v>
      </c>
      <c r="L7" s="31" t="n">
        <f aca="false">K7-K6</f>
        <v>4317.28</v>
      </c>
      <c r="M7" s="31" t="n">
        <f aca="false">Tom_Rev</f>
        <v>8800</v>
      </c>
      <c r="N7" s="30" t="b">
        <f aca="false">L7&lt;=M7</f>
        <v>1</v>
      </c>
      <c r="O7" s="31" t="n">
        <f aca="false">ABS(M7-L7)</f>
        <v>4482.72</v>
      </c>
    </row>
    <row r="8" customFormat="false" ht="15" hidden="false" customHeight="true" outlineLevel="0" collapsed="false">
      <c r="A8" s="12" t="n">
        <v>2</v>
      </c>
      <c r="B8" s="29" t="n">
        <f aca="false">IF($A8=0,0,$A8*Tom_BaseLabor*SeasonLength*(1+Tom_DR)^$A8)</f>
        <v>217.8</v>
      </c>
      <c r="C8" s="29" t="n">
        <f aca="false">MIN(B8,FarmerHours)</f>
        <v>217.8</v>
      </c>
      <c r="D8" s="29" t="n">
        <f aca="false">MAX(B8-FarmerHours,0)</f>
        <v>0</v>
      </c>
      <c r="E8" s="12" t="n">
        <f aca="false">IF(D8=0,0,ROUNDUP(D8/TempWorkerHours,0))</f>
        <v>0</v>
      </c>
      <c r="F8" s="30" t="b">
        <f aca="false">AND(B8&lt;=MaxLaborCapacity,E8&lt;=MaxTempWorkers)</f>
        <v>1</v>
      </c>
      <c r="G8" s="31" t="n">
        <f aca="false">C8*FarmerRate</f>
        <v>7562.016</v>
      </c>
      <c r="H8" s="31" t="n">
        <f aca="false">D8*TempRate</f>
        <v>0</v>
      </c>
      <c r="I8" s="31" t="n">
        <f aca="false">$A8*Tom_Fert</f>
        <v>1760</v>
      </c>
      <c r="J8" s="31" t="n">
        <f aca="false">G8+H8</f>
        <v>7562.016</v>
      </c>
      <c r="K8" s="31" t="n">
        <f aca="false">FixedCosts+I8+J8</f>
        <v>29322.016</v>
      </c>
      <c r="L8" s="31" t="n">
        <f aca="false">K8-K7</f>
        <v>5004.736</v>
      </c>
      <c r="M8" s="31" t="n">
        <f aca="false">Tom_Rev</f>
        <v>8800</v>
      </c>
      <c r="N8" s="30" t="b">
        <f aca="false">L8&lt;=M8</f>
        <v>1</v>
      </c>
      <c r="O8" s="31" t="n">
        <f aca="false">ABS(M8-L8)</f>
        <v>3795.264</v>
      </c>
    </row>
    <row r="9" customFormat="false" ht="15" hidden="false" customHeight="true" outlineLevel="0" collapsed="false">
      <c r="A9" s="12" t="n">
        <v>3</v>
      </c>
      <c r="B9" s="29" t="n">
        <f aca="false">IF($A9=0,0,$A9*Tom_BaseLabor*SeasonLength*(1+Tom_DR)^$A9)</f>
        <v>359.37</v>
      </c>
      <c r="C9" s="29" t="n">
        <f aca="false">MIN(B9,FarmerHours)</f>
        <v>359.37</v>
      </c>
      <c r="D9" s="29" t="n">
        <f aca="false">MAX(B9-FarmerHours,0)</f>
        <v>0</v>
      </c>
      <c r="E9" s="12" t="n">
        <f aca="false">IF(D9=0,0,ROUNDUP(D9/TempWorkerHours,0))</f>
        <v>0</v>
      </c>
      <c r="F9" s="30" t="b">
        <f aca="false">AND(B9&lt;=MaxLaborCapacity,E9&lt;=MaxTempWorkers)</f>
        <v>1</v>
      </c>
      <c r="G9" s="31" t="n">
        <f aca="false">C9*FarmerRate</f>
        <v>12477.3264</v>
      </c>
      <c r="H9" s="31" t="n">
        <f aca="false">D9*TempRate</f>
        <v>0</v>
      </c>
      <c r="I9" s="31" t="n">
        <f aca="false">$A9*Tom_Fert</f>
        <v>2640</v>
      </c>
      <c r="J9" s="31" t="n">
        <f aca="false">G9+H9</f>
        <v>12477.3264</v>
      </c>
      <c r="K9" s="31" t="n">
        <f aca="false">FixedCosts+I9+J9</f>
        <v>35117.3264</v>
      </c>
      <c r="L9" s="31" t="n">
        <f aca="false">K9-K8</f>
        <v>5795.3104</v>
      </c>
      <c r="M9" s="31" t="n">
        <f aca="false">Tom_Rev</f>
        <v>8800</v>
      </c>
      <c r="N9" s="30" t="b">
        <f aca="false">L9&lt;=M9</f>
        <v>1</v>
      </c>
      <c r="O9" s="31" t="n">
        <f aca="false">ABS(M9-L9)</f>
        <v>3004.6896</v>
      </c>
    </row>
    <row r="10" customFormat="false" ht="15" hidden="false" customHeight="true" outlineLevel="0" collapsed="false">
      <c r="A10" s="12" t="n">
        <v>4</v>
      </c>
      <c r="B10" s="29" t="n">
        <f aca="false">IF($A10=0,0,$A10*Tom_BaseLabor*SeasonLength*(1+Tom_DR)^$A10)</f>
        <v>527.076</v>
      </c>
      <c r="C10" s="29" t="n">
        <f aca="false">MIN(B10,FarmerHours)</f>
        <v>527.076</v>
      </c>
      <c r="D10" s="29" t="n">
        <f aca="false">MAX(B10-FarmerHours,0)</f>
        <v>0</v>
      </c>
      <c r="E10" s="12" t="n">
        <f aca="false">IF(D10=0,0,ROUNDUP(D10/TempWorkerHours,0))</f>
        <v>0</v>
      </c>
      <c r="F10" s="30" t="b">
        <f aca="false">AND(B10&lt;=MaxLaborCapacity,E10&lt;=MaxTempWorkers)</f>
        <v>1</v>
      </c>
      <c r="G10" s="31" t="n">
        <f aca="false">C10*FarmerRate</f>
        <v>18300.07872</v>
      </c>
      <c r="H10" s="31" t="n">
        <f aca="false">D10*TempRate</f>
        <v>0</v>
      </c>
      <c r="I10" s="31" t="n">
        <f aca="false">$A10*Tom_Fert</f>
        <v>3520</v>
      </c>
      <c r="J10" s="31" t="n">
        <f aca="false">G10+H10</f>
        <v>18300.07872</v>
      </c>
      <c r="K10" s="31" t="n">
        <f aca="false">FixedCosts+I10+J10</f>
        <v>41820.07872</v>
      </c>
      <c r="L10" s="31" t="n">
        <f aca="false">K10-K9</f>
        <v>6702.75232</v>
      </c>
      <c r="M10" s="31" t="n">
        <f aca="false">Tom_Rev</f>
        <v>8800</v>
      </c>
      <c r="N10" s="30" t="b">
        <f aca="false">L10&lt;=M10</f>
        <v>1</v>
      </c>
      <c r="O10" s="31" t="n">
        <f aca="false">ABS(M10-L10)</f>
        <v>2097.24768</v>
      </c>
    </row>
    <row r="11" customFormat="false" ht="15" hidden="false" customHeight="true" outlineLevel="0" collapsed="false">
      <c r="A11" s="12" t="n">
        <v>5</v>
      </c>
      <c r="B11" s="29" t="n">
        <f aca="false">IF($A11=0,0,$A11*Tom_BaseLabor*SeasonLength*(1+Tom_DR)^$A11)</f>
        <v>724.7295</v>
      </c>
      <c r="C11" s="29" t="n">
        <f aca="false">MIN(B11,FarmerHours)</f>
        <v>720</v>
      </c>
      <c r="D11" s="29" t="n">
        <f aca="false">MAX(B11-FarmerHours,0)</f>
        <v>4.72950000000026</v>
      </c>
      <c r="E11" s="12" t="n">
        <f aca="false">IF(D11=0,0,ROUNDUP(D11/TempWorkerHours,0))</f>
        <v>1</v>
      </c>
      <c r="F11" s="30" t="b">
        <f aca="false">AND(B11&lt;=MaxLaborCapacity,E11&lt;=MaxTempWorkers)</f>
        <v>1</v>
      </c>
      <c r="G11" s="31" t="n">
        <f aca="false">C11*FarmerRate</f>
        <v>24998.4</v>
      </c>
      <c r="H11" s="31" t="n">
        <f aca="false">D11*TempRate</f>
        <v>82.1041200000045</v>
      </c>
      <c r="I11" s="31" t="n">
        <f aca="false">$A11*Tom_Fert</f>
        <v>4400</v>
      </c>
      <c r="J11" s="31" t="n">
        <f aca="false">G11+H11</f>
        <v>25080.50412</v>
      </c>
      <c r="K11" s="31" t="n">
        <f aca="false">FixedCosts+I11+J11</f>
        <v>49480.50412</v>
      </c>
      <c r="L11" s="31" t="n">
        <f aca="false">K11-K10</f>
        <v>7660.42539999999</v>
      </c>
      <c r="M11" s="31" t="n">
        <f aca="false">Tom_Rev</f>
        <v>8800</v>
      </c>
      <c r="N11" s="30" t="b">
        <f aca="false">L11&lt;=M11</f>
        <v>1</v>
      </c>
      <c r="O11" s="31" t="n">
        <f aca="false">ABS(M11-L11)</f>
        <v>1139.57460000001</v>
      </c>
    </row>
    <row r="12" customFormat="false" ht="15" hidden="false" customHeight="true" outlineLevel="0" collapsed="false">
      <c r="A12" s="12" t="n">
        <v>6</v>
      </c>
      <c r="B12" s="29" t="n">
        <f aca="false">IF($A12=0,0,$A12*Tom_BaseLabor*SeasonLength*(1+Tom_DR)^$A12)</f>
        <v>956.64294</v>
      </c>
      <c r="C12" s="29" t="n">
        <f aca="false">MIN(B12,FarmerHours)</f>
        <v>720</v>
      </c>
      <c r="D12" s="29" t="n">
        <f aca="false">MAX(B12-FarmerHours,0)</f>
        <v>236.64294</v>
      </c>
      <c r="E12" s="12" t="n">
        <f aca="false">IF(D12=0,0,ROUNDUP(D12/TempWorkerHours,0))</f>
        <v>1</v>
      </c>
      <c r="F12" s="30" t="b">
        <f aca="false">AND(B12&lt;=MaxLaborCapacity,E12&lt;=MaxTempWorkers)</f>
        <v>1</v>
      </c>
      <c r="G12" s="31" t="n">
        <f aca="false">C12*FarmerRate</f>
        <v>24998.4</v>
      </c>
      <c r="H12" s="31" t="n">
        <f aca="false">D12*TempRate</f>
        <v>4108.12143840001</v>
      </c>
      <c r="I12" s="31" t="n">
        <f aca="false">$A12*Tom_Fert</f>
        <v>5280</v>
      </c>
      <c r="J12" s="31" t="n">
        <f aca="false">G12+H12</f>
        <v>29106.5214384</v>
      </c>
      <c r="K12" s="31" t="n">
        <f aca="false">FixedCosts+I12+J12</f>
        <v>54386.5214384</v>
      </c>
      <c r="L12" s="31" t="n">
        <f aca="false">K12-K11</f>
        <v>4906.01731840001</v>
      </c>
      <c r="M12" s="31" t="n">
        <f aca="false">Tom_Rev</f>
        <v>8800</v>
      </c>
      <c r="N12" s="30" t="b">
        <f aca="false">L12&lt;=M12</f>
        <v>1</v>
      </c>
      <c r="O12" s="31" t="n">
        <f aca="false">ABS(M12-L12)</f>
        <v>3893.98268159999</v>
      </c>
    </row>
    <row r="13" customFormat="false" ht="15" hidden="false" customHeight="true" outlineLevel="0" collapsed="false">
      <c r="A13" s="12" t="n">
        <v>7</v>
      </c>
      <c r="B13" s="29" t="n">
        <f aca="false">IF($A13=0,0,$A13*Tom_BaseLabor*SeasonLength*(1+Tom_DR)^$A13)</f>
        <v>1227.691773</v>
      </c>
      <c r="C13" s="29" t="n">
        <f aca="false">MIN(B13,FarmerHours)</f>
        <v>720</v>
      </c>
      <c r="D13" s="29" t="n">
        <f aca="false">MAX(B13-FarmerHours,0)</f>
        <v>507.691773000001</v>
      </c>
      <c r="E13" s="12" t="n">
        <f aca="false">IF(D13=0,0,ROUNDUP(D13/TempWorkerHours,0))</f>
        <v>1</v>
      </c>
      <c r="F13" s="30" t="b">
        <f aca="false">AND(B13&lt;=MaxLaborCapacity,E13&lt;=MaxTempWorkers)</f>
        <v>1</v>
      </c>
      <c r="G13" s="31" t="n">
        <f aca="false">C13*FarmerRate</f>
        <v>24998.4</v>
      </c>
      <c r="H13" s="31" t="n">
        <f aca="false">D13*TempRate</f>
        <v>8813.52917928001</v>
      </c>
      <c r="I13" s="31" t="n">
        <f aca="false">$A13*Tom_Fert</f>
        <v>6160</v>
      </c>
      <c r="J13" s="31" t="n">
        <f aca="false">G13+H13</f>
        <v>33811.92917928</v>
      </c>
      <c r="K13" s="31" t="n">
        <f aca="false">FixedCosts+I13+J13</f>
        <v>59971.92917928</v>
      </c>
      <c r="L13" s="31" t="n">
        <f aca="false">K13-K12</f>
        <v>5585.40774088</v>
      </c>
      <c r="M13" s="31" t="n">
        <f aca="false">Tom_Rev</f>
        <v>8800</v>
      </c>
      <c r="N13" s="30" t="b">
        <f aca="false">L13&lt;=M13</f>
        <v>1</v>
      </c>
      <c r="O13" s="31" t="n">
        <f aca="false">ABS(M13-L13)</f>
        <v>3214.59225912</v>
      </c>
    </row>
    <row r="14" customFormat="false" ht="15" hidden="false" customHeight="true" outlineLevel="0" collapsed="false">
      <c r="A14" s="12" t="n">
        <v>8</v>
      </c>
      <c r="B14" s="29" t="n">
        <f aca="false">IF($A14=0,0,$A14*Tom_BaseLabor*SeasonLength*(1+Tom_DR)^$A14)</f>
        <v>1543.3839432</v>
      </c>
      <c r="C14" s="29" t="n">
        <f aca="false">MIN(B14,FarmerHours)</f>
        <v>720</v>
      </c>
      <c r="D14" s="29" t="n">
        <f aca="false">MAX(B14-FarmerHours,0)</f>
        <v>823.383943200001</v>
      </c>
      <c r="E14" s="12" t="n">
        <f aca="false">IF(D14=0,0,ROUNDUP(D14/TempWorkerHours,0))</f>
        <v>1</v>
      </c>
      <c r="F14" s="30" t="b">
        <f aca="false">AND(B14&lt;=MaxLaborCapacity,E14&lt;=MaxTempWorkers)</f>
        <v>1</v>
      </c>
      <c r="G14" s="31" t="n">
        <f aca="false">C14*FarmerRate</f>
        <v>24998.4</v>
      </c>
      <c r="H14" s="31" t="n">
        <f aca="false">D14*TempRate</f>
        <v>14293.945253952</v>
      </c>
      <c r="I14" s="31" t="n">
        <f aca="false">$A14*Tom_Fert</f>
        <v>7040</v>
      </c>
      <c r="J14" s="31" t="n">
        <f aca="false">G14+H14</f>
        <v>39292.345253952</v>
      </c>
      <c r="K14" s="31" t="n">
        <f aca="false">FixedCosts+I14+J14</f>
        <v>66332.345253952</v>
      </c>
      <c r="L14" s="31" t="n">
        <f aca="false">K14-K13</f>
        <v>6360.41607467202</v>
      </c>
      <c r="M14" s="31" t="n">
        <f aca="false">Tom_Rev</f>
        <v>8800</v>
      </c>
      <c r="N14" s="30" t="b">
        <f aca="false">L14&lt;=M14</f>
        <v>1</v>
      </c>
      <c r="O14" s="31" t="n">
        <f aca="false">ABS(M14-L14)</f>
        <v>2439.58392532798</v>
      </c>
    </row>
    <row r="15" customFormat="false" ht="15" hidden="false" customHeight="true" outlineLevel="0" collapsed="false">
      <c r="A15" s="12" t="n">
        <v>9</v>
      </c>
      <c r="B15" s="29" t="n">
        <f aca="false">IF($A15=0,0,$A15*Tom_BaseLabor*SeasonLength*(1+Tom_DR)^$A15)</f>
        <v>1909.93762971</v>
      </c>
      <c r="C15" s="29" t="n">
        <f aca="false">MIN(B15,FarmerHours)</f>
        <v>720</v>
      </c>
      <c r="D15" s="29" t="n">
        <f aca="false">MAX(B15-FarmerHours,0)</f>
        <v>1189.93762971</v>
      </c>
      <c r="E15" s="12" t="n">
        <f aca="false">IF(D15=0,0,ROUNDUP(D15/TempWorkerHours,0))</f>
        <v>1</v>
      </c>
      <c r="F15" s="30" t="b">
        <f aca="false">AND(B15&lt;=MaxLaborCapacity,E15&lt;=MaxTempWorkers)</f>
        <v>1</v>
      </c>
      <c r="G15" s="31" t="n">
        <f aca="false">C15*FarmerRate</f>
        <v>24998.4</v>
      </c>
      <c r="H15" s="31" t="n">
        <f aca="false">D15*TempRate</f>
        <v>20657.3172517656</v>
      </c>
      <c r="I15" s="31" t="n">
        <f aca="false">$A15*Tom_Fert</f>
        <v>7920</v>
      </c>
      <c r="J15" s="31" t="n">
        <f aca="false">G15+H15</f>
        <v>45655.7172517656</v>
      </c>
      <c r="K15" s="31" t="n">
        <f aca="false">FixedCosts+I15+J15</f>
        <v>73575.7172517656</v>
      </c>
      <c r="L15" s="31" t="n">
        <f aca="false">K15-K14</f>
        <v>7243.37199781361</v>
      </c>
      <c r="M15" s="31" t="n">
        <f aca="false">Tom_Rev</f>
        <v>8800</v>
      </c>
      <c r="N15" s="30" t="b">
        <f aca="false">L15&lt;=M15</f>
        <v>1</v>
      </c>
      <c r="O15" s="31" t="n">
        <f aca="false">ABS(M15-L15)</f>
        <v>1556.62800218639</v>
      </c>
    </row>
    <row r="16" customFormat="false" ht="15" hidden="false" customHeight="true" outlineLevel="0" collapsed="false">
      <c r="A16" s="12" t="n">
        <v>10</v>
      </c>
      <c r="B16" s="29" t="n">
        <f aca="false">IF($A16=0,0,$A16*Tom_BaseLabor*SeasonLength*(1+Tom_DR)^$A16)</f>
        <v>2334.36821409</v>
      </c>
      <c r="C16" s="29" t="n">
        <f aca="false">MIN(B16,FarmerHours)</f>
        <v>720</v>
      </c>
      <c r="D16" s="29" t="n">
        <f aca="false">MAX(B16-FarmerHours,0)</f>
        <v>1614.36821409</v>
      </c>
      <c r="E16" s="12" t="n">
        <f aca="false">IF(D16=0,0,ROUNDUP(D16/TempWorkerHours,0))</f>
        <v>2</v>
      </c>
      <c r="F16" s="30" t="b">
        <f aca="false">AND(B16&lt;=MaxLaborCapacity,E16&lt;=MaxTempWorkers)</f>
        <v>1</v>
      </c>
      <c r="G16" s="31" t="n">
        <f aca="false">C16*FarmerRate</f>
        <v>24998.4</v>
      </c>
      <c r="H16" s="31" t="n">
        <f aca="false">D16*TempRate</f>
        <v>28025.4321966024</v>
      </c>
      <c r="I16" s="31" t="n">
        <f aca="false">$A16*Tom_Fert</f>
        <v>8800</v>
      </c>
      <c r="J16" s="31" t="n">
        <f aca="false">G16+H16</f>
        <v>53023.8321966024</v>
      </c>
      <c r="K16" s="31" t="n">
        <f aca="false">FixedCosts+I16+J16</f>
        <v>81823.8321966024</v>
      </c>
      <c r="L16" s="31" t="n">
        <f aca="false">K16-K15</f>
        <v>8248.11494483679</v>
      </c>
      <c r="M16" s="31" t="n">
        <f aca="false">Tom_Rev</f>
        <v>8800</v>
      </c>
      <c r="N16" s="30" t="b">
        <f aca="false">L16&lt;=M16</f>
        <v>1</v>
      </c>
      <c r="O16" s="31" t="n">
        <f aca="false">ABS(M16-L16)</f>
        <v>551.885055163206</v>
      </c>
    </row>
    <row r="17" customFormat="false" ht="15" hidden="false" customHeight="true" outlineLevel="0" collapsed="false">
      <c r="A17" s="12" t="n">
        <v>11</v>
      </c>
      <c r="B17" s="29" t="n">
        <f aca="false">IF($A17=0,0,$A17*Tom_BaseLabor*SeasonLength*(1+Tom_DR)^$A17)</f>
        <v>2824.5855390489</v>
      </c>
      <c r="C17" s="29" t="n">
        <f aca="false">MIN(B17,FarmerHours)</f>
        <v>720</v>
      </c>
      <c r="D17" s="29" t="n">
        <f aca="false">MAX(B17-FarmerHours,0)</f>
        <v>2104.5855390489</v>
      </c>
      <c r="E17" s="12" t="n">
        <f aca="false">IF(D17=0,0,ROUNDUP(D17/TempWorkerHours,0))</f>
        <v>2</v>
      </c>
      <c r="F17" s="30" t="b">
        <f aca="false">AND(B17&lt;=MaxLaborCapacity,E17&lt;=MaxTempWorkers)</f>
        <v>1</v>
      </c>
      <c r="G17" s="31" t="n">
        <f aca="false">C17*FarmerRate</f>
        <v>24998.4</v>
      </c>
      <c r="H17" s="31" t="n">
        <f aca="false">D17*TempRate</f>
        <v>36535.6049578889</v>
      </c>
      <c r="I17" s="31" t="n">
        <f aca="false">$A17*Tom_Fert</f>
        <v>9680</v>
      </c>
      <c r="J17" s="31" t="n">
        <f aca="false">G17+H17</f>
        <v>61534.0049578889</v>
      </c>
      <c r="K17" s="31" t="n">
        <f aca="false">FixedCosts+I17+J17</f>
        <v>91214.0049578889</v>
      </c>
      <c r="L17" s="31" t="n">
        <f aca="false">K17-K16</f>
        <v>9390.17276128652</v>
      </c>
      <c r="M17" s="31" t="n">
        <f aca="false">Tom_Rev</f>
        <v>8800</v>
      </c>
      <c r="N17" s="30" t="b">
        <f aca="false">L17&lt;=M17</f>
        <v>0</v>
      </c>
      <c r="O17" s="31" t="n">
        <f aca="false">ABS(M17-L17)</f>
        <v>590.172761286522</v>
      </c>
    </row>
    <row r="18" customFormat="false" ht="15" hidden="false" customHeight="true" outlineLevel="0" collapsed="false">
      <c r="A18" s="12" t="n">
        <v>12</v>
      </c>
      <c r="B18" s="29" t="n">
        <f aca="false">IF($A18=0,0,$A18*Tom_BaseLabor*SeasonLength*(1+Tom_DR)^$A18)</f>
        <v>3389.50264685868</v>
      </c>
      <c r="C18" s="29" t="n">
        <f aca="false">MIN(B18,FarmerHours)</f>
        <v>720</v>
      </c>
      <c r="D18" s="29" t="n">
        <f aca="false">MAX(B18-FarmerHours,0)</f>
        <v>2669.50264685868</v>
      </c>
      <c r="E18" s="12" t="n">
        <f aca="false">IF(D18=0,0,ROUNDUP(D18/TempWorkerHours,0))</f>
        <v>2</v>
      </c>
      <c r="F18" s="30" t="b">
        <f aca="false">AND(B18&lt;=MaxLaborCapacity,E18&lt;=MaxTempWorkers)</f>
        <v>1</v>
      </c>
      <c r="G18" s="31" t="n">
        <f aca="false">C18*FarmerRate</f>
        <v>24998.4</v>
      </c>
      <c r="H18" s="31" t="n">
        <f aca="false">D18*TempRate</f>
        <v>46342.5659494667</v>
      </c>
      <c r="I18" s="31" t="n">
        <f aca="false">$A18*Tom_Fert</f>
        <v>10560</v>
      </c>
      <c r="J18" s="31" t="n">
        <f aca="false">G18+H18</f>
        <v>71340.9659494667</v>
      </c>
      <c r="K18" s="31" t="n">
        <f aca="false">FixedCosts+I18+J18</f>
        <v>101900.965949467</v>
      </c>
      <c r="L18" s="31" t="n">
        <f aca="false">K18-K17</f>
        <v>10686.9609915778</v>
      </c>
      <c r="M18" s="31" t="n">
        <f aca="false">Tom_Rev</f>
        <v>8800</v>
      </c>
      <c r="N18" s="30" t="b">
        <f aca="false">L18&lt;=M18</f>
        <v>0</v>
      </c>
      <c r="O18" s="31" t="n">
        <f aca="false">ABS(M18-L18)</f>
        <v>1886.9609915778</v>
      </c>
    </row>
    <row r="19" customFormat="false" ht="15" hidden="false" customHeight="true" outlineLevel="0" collapsed="false">
      <c r="A19" s="12" t="n">
        <v>13</v>
      </c>
      <c r="B19" s="29" t="n">
        <f aca="false">IF($A19=0,0,$A19*Tom_BaseLabor*SeasonLength*(1+Tom_DR)^$A19)</f>
        <v>4039.15732083993</v>
      </c>
      <c r="C19" s="29" t="n">
        <f aca="false">MIN(B19,FarmerHours)</f>
        <v>720</v>
      </c>
      <c r="D19" s="29" t="n">
        <f aca="false">MAX(B19-FarmerHours,0)</f>
        <v>3319.15732083993</v>
      </c>
      <c r="E19" s="12" t="n">
        <f aca="false">IF(D19=0,0,ROUNDUP(D19/TempWorkerHours,0))</f>
        <v>3</v>
      </c>
      <c r="F19" s="30" t="b">
        <f aca="false">AND(B19&lt;=MaxLaborCapacity,E19&lt;=MaxTempWorkers)</f>
        <v>1</v>
      </c>
      <c r="G19" s="31" t="n">
        <f aca="false">C19*FarmerRate</f>
        <v>24998.4</v>
      </c>
      <c r="H19" s="31" t="n">
        <f aca="false">D19*TempRate</f>
        <v>57620.5710897812</v>
      </c>
      <c r="I19" s="31" t="n">
        <f aca="false">$A19*Tom_Fert</f>
        <v>11440</v>
      </c>
      <c r="J19" s="31" t="n">
        <f aca="false">G19+H19</f>
        <v>82618.9710897812</v>
      </c>
      <c r="K19" s="31" t="n">
        <f aca="false">FixedCosts+I19+J19</f>
        <v>114058.971089781</v>
      </c>
      <c r="L19" s="31" t="n">
        <f aca="false">K19-K18</f>
        <v>12158.0051403145</v>
      </c>
      <c r="M19" s="31" t="n">
        <f aca="false">Tom_Rev</f>
        <v>8800</v>
      </c>
      <c r="N19" s="30" t="b">
        <f aca="false">L19&lt;=M19</f>
        <v>0</v>
      </c>
      <c r="O19" s="31" t="n">
        <f aca="false">ABS(M19-L19)</f>
        <v>3358.00514031446</v>
      </c>
    </row>
    <row r="20" customFormat="false" ht="15" hidden="false" customHeight="true" outlineLevel="0" collapsed="false">
      <c r="A20" s="12" t="n">
        <v>14</v>
      </c>
      <c r="B20" s="29" t="n">
        <f aca="false">IF($A20=0,0,$A20*Tom_BaseLabor*SeasonLength*(1+Tom_DR)^$A20)</f>
        <v>4784.84790314884</v>
      </c>
      <c r="C20" s="29" t="n">
        <f aca="false">MIN(B20,FarmerHours)</f>
        <v>720</v>
      </c>
      <c r="D20" s="29" t="n">
        <f aca="false">MAX(B20-FarmerHours,0)</f>
        <v>4064.84790314884</v>
      </c>
      <c r="E20" s="12" t="n">
        <f aca="false">IF(D20=0,0,ROUNDUP(D20/TempWorkerHours,0))</f>
        <v>3</v>
      </c>
      <c r="F20" s="30" t="b">
        <f aca="false">AND(B20&lt;=MaxLaborCapacity,E20&lt;=MaxTempWorkers)</f>
        <v>1</v>
      </c>
      <c r="G20" s="31" t="n">
        <f aca="false">C20*FarmerRate</f>
        <v>24998.4</v>
      </c>
      <c r="H20" s="31" t="n">
        <f aca="false">D20*TempRate</f>
        <v>70565.7595986639</v>
      </c>
      <c r="I20" s="31" t="n">
        <f aca="false">$A20*Tom_Fert</f>
        <v>12320</v>
      </c>
      <c r="J20" s="31" t="n">
        <f aca="false">G20+H20</f>
        <v>95564.1595986639</v>
      </c>
      <c r="K20" s="31" t="n">
        <f aca="false">FixedCosts+I20+J20</f>
        <v>127884.159598664</v>
      </c>
      <c r="L20" s="31" t="n">
        <f aca="false">K20-K19</f>
        <v>13825.1885088827</v>
      </c>
      <c r="M20" s="31" t="n">
        <f aca="false">Tom_Rev</f>
        <v>8800</v>
      </c>
      <c r="N20" s="30" t="b">
        <f aca="false">L20&lt;=M20</f>
        <v>0</v>
      </c>
      <c r="O20" s="31" t="n">
        <f aca="false">ABS(M20-L20)</f>
        <v>5025.1885088827</v>
      </c>
    </row>
    <row r="21" customFormat="false" ht="15" hidden="false" customHeight="true" outlineLevel="0" collapsed="false">
      <c r="A21" s="12" t="n">
        <v>15</v>
      </c>
      <c r="B21" s="29" t="n">
        <f aca="false">IF($A21=0,0,$A21*Tom_BaseLabor*SeasonLength*(1+Tom_DR)^$A21)</f>
        <v>5639.28502871114</v>
      </c>
      <c r="C21" s="29" t="n">
        <f aca="false">MIN(B21,FarmerHours)</f>
        <v>720</v>
      </c>
      <c r="D21" s="29" t="n">
        <f aca="false">MAX(B21-FarmerHours,0)</f>
        <v>4919.28502871114</v>
      </c>
      <c r="E21" s="12" t="n">
        <f aca="false">IF(D21=0,0,ROUNDUP(D21/TempWorkerHours,0))</f>
        <v>4</v>
      </c>
      <c r="F21" s="30" t="b">
        <f aca="false">AND(B21&lt;=MaxLaborCapacity,E21&lt;=MaxTempWorkers)</f>
        <v>1</v>
      </c>
      <c r="G21" s="31" t="n">
        <f aca="false">C21*FarmerRate</f>
        <v>24998.4</v>
      </c>
      <c r="H21" s="31" t="n">
        <f aca="false">D21*TempRate</f>
        <v>85398.7880984253</v>
      </c>
      <c r="I21" s="31" t="n">
        <f aca="false">$A21*Tom_Fert</f>
        <v>13200</v>
      </c>
      <c r="J21" s="31" t="n">
        <f aca="false">G21+H21</f>
        <v>110397.188098425</v>
      </c>
      <c r="K21" s="31" t="n">
        <f aca="false">FixedCosts+I21+J21</f>
        <v>143597.188098425</v>
      </c>
      <c r="L21" s="31" t="n">
        <f aca="false">K21-K20</f>
        <v>15713.0284997614</v>
      </c>
      <c r="M21" s="31" t="n">
        <f aca="false">Tom_Rev</f>
        <v>8800</v>
      </c>
      <c r="N21" s="30" t="b">
        <f aca="false">L21&lt;=M21</f>
        <v>0</v>
      </c>
      <c r="O21" s="31" t="n">
        <f aca="false">ABS(M21-L21)</f>
        <v>6913.02849976141</v>
      </c>
    </row>
    <row r="22" customFormat="false" ht="15" hidden="false" customHeight="true" outlineLevel="0" collapsed="false">
      <c r="A22" s="12" t="n">
        <v>16</v>
      </c>
      <c r="B22" s="29" t="n">
        <f aca="false">IF($A22=0,0,$A22*Tom_BaseLabor*SeasonLength*(1+Tom_DR)^$A22)</f>
        <v>6616.7611003544</v>
      </c>
      <c r="C22" s="29" t="n">
        <f aca="false">MIN(B22,FarmerHours)</f>
        <v>720</v>
      </c>
      <c r="D22" s="29" t="n">
        <f aca="false">MAX(B22-FarmerHours,0)</f>
        <v>5896.7611003544</v>
      </c>
      <c r="E22" s="12" t="n">
        <f aca="false">IF(D22=0,0,ROUNDUP(D22/TempWorkerHours,0))</f>
        <v>5</v>
      </c>
      <c r="F22" s="30" t="b">
        <f aca="false">AND(B22&lt;=MaxLaborCapacity,E22&lt;=MaxTempWorkers)</f>
        <v>0</v>
      </c>
      <c r="G22" s="31" t="n">
        <f aca="false">C22*FarmerRate</f>
        <v>24998.4</v>
      </c>
      <c r="H22" s="31" t="n">
        <f aca="false">D22*TempRate</f>
        <v>102367.772702152</v>
      </c>
      <c r="I22" s="31" t="n">
        <f aca="false">$A22*Tom_Fert</f>
        <v>14080</v>
      </c>
      <c r="J22" s="31" t="n">
        <f aca="false">G22+H22</f>
        <v>127366.172702152</v>
      </c>
      <c r="K22" s="31" t="n">
        <f aca="false">FixedCosts+I22+J22</f>
        <v>161446.172702152</v>
      </c>
      <c r="L22" s="31" t="n">
        <f aca="false">K22-K21</f>
        <v>17848.9846037271</v>
      </c>
      <c r="M22" s="31" t="n">
        <f aca="false">Tom_Rev</f>
        <v>8800</v>
      </c>
      <c r="N22" s="30" t="b">
        <f aca="false">L22&lt;=M22</f>
        <v>0</v>
      </c>
      <c r="O22" s="31" t="n">
        <f aca="false">ABS(M22-L22)</f>
        <v>9048.98460372706</v>
      </c>
    </row>
    <row r="23" customFormat="false" ht="15" hidden="false" customHeight="true" outlineLevel="0" collapsed="false">
      <c r="A23" s="12" t="n">
        <v>17</v>
      </c>
      <c r="B23" s="29" t="n">
        <f aca="false">IF($A23=0,0,$A23*Tom_BaseLabor*SeasonLength*(1+Tom_DR)^$A23)</f>
        <v>7733.33953603921</v>
      </c>
      <c r="C23" s="29" t="n">
        <f aca="false">MIN(B23,FarmerHours)</f>
        <v>720</v>
      </c>
      <c r="D23" s="29" t="n">
        <f aca="false">MAX(B23-FarmerHours,0)</f>
        <v>7013.33953603921</v>
      </c>
      <c r="E23" s="12" t="n">
        <f aca="false">IF(D23=0,0,ROUNDUP(D23/TempWorkerHours,0))</f>
        <v>5</v>
      </c>
      <c r="F23" s="30" t="b">
        <f aca="false">AND(B23&lt;=MaxLaborCapacity,E23&lt;=MaxTempWorkers)</f>
        <v>0</v>
      </c>
      <c r="G23" s="31" t="n">
        <f aca="false">C23*FarmerRate</f>
        <v>24998.4</v>
      </c>
      <c r="H23" s="31" t="n">
        <f aca="false">D23*TempRate</f>
        <v>121751.574345641</v>
      </c>
      <c r="I23" s="31" t="n">
        <f aca="false">$A23*Tom_Fert</f>
        <v>14960</v>
      </c>
      <c r="J23" s="31" t="n">
        <f aca="false">G23+H23</f>
        <v>146749.974345641</v>
      </c>
      <c r="K23" s="31" t="n">
        <f aca="false">FixedCosts+I23+J23</f>
        <v>181709.974345641</v>
      </c>
      <c r="L23" s="31" t="n">
        <f aca="false">K23-K22</f>
        <v>20263.8016434882</v>
      </c>
      <c r="M23" s="31" t="n">
        <f aca="false">Tom_Rev</f>
        <v>8800</v>
      </c>
      <c r="N23" s="30" t="b">
        <f aca="false">L23&lt;=M23</f>
        <v>0</v>
      </c>
      <c r="O23" s="31" t="n">
        <f aca="false">ABS(M23-L23)</f>
        <v>11463.8016434882</v>
      </c>
    </row>
    <row r="24" customFormat="false" ht="15" hidden="false" customHeight="true" outlineLevel="0" collapsed="false">
      <c r="A24" s="12" t="n">
        <v>18</v>
      </c>
      <c r="B24" s="29" t="n">
        <f aca="false">IF($A24=0,0,$A24*Tom_BaseLabor*SeasonLength*(1+Tom_DR)^$A24)</f>
        <v>9007.06604785743</v>
      </c>
      <c r="C24" s="29" t="n">
        <f aca="false">MIN(B24,FarmerHours)</f>
        <v>720</v>
      </c>
      <c r="D24" s="29" t="n">
        <f aca="false">MAX(B24-FarmerHours,0)</f>
        <v>8287.06604785743</v>
      </c>
      <c r="E24" s="12" t="n">
        <f aca="false">IF(D24=0,0,ROUNDUP(D24/TempWorkerHours,0))</f>
        <v>6</v>
      </c>
      <c r="F24" s="30" t="b">
        <f aca="false">AND(B24&lt;=MaxLaborCapacity,E24&lt;=MaxTempWorkers)</f>
        <v>0</v>
      </c>
      <c r="G24" s="31" t="n">
        <f aca="false">C24*FarmerRate</f>
        <v>24998.4</v>
      </c>
      <c r="H24" s="31" t="n">
        <f aca="false">D24*TempRate</f>
        <v>143863.466590805</v>
      </c>
      <c r="I24" s="31" t="n">
        <f aca="false">$A24*Tom_Fert</f>
        <v>15840</v>
      </c>
      <c r="J24" s="31" t="n">
        <f aca="false">G24+H24</f>
        <v>168861.866590805</v>
      </c>
      <c r="K24" s="31" t="n">
        <f aca="false">FixedCosts+I24+J24</f>
        <v>204701.866590805</v>
      </c>
      <c r="L24" s="31" t="n">
        <f aca="false">K24-K23</f>
        <v>22991.8922451643</v>
      </c>
      <c r="M24" s="31" t="n">
        <f aca="false">Tom_Rev</f>
        <v>8800</v>
      </c>
      <c r="N24" s="30" t="b">
        <f aca="false">L24&lt;=M24</f>
        <v>0</v>
      </c>
      <c r="O24" s="31" t="n">
        <f aca="false">ABS(M24-L24)</f>
        <v>14191.8922451643</v>
      </c>
    </row>
    <row r="25" customFormat="false" ht="15" hidden="false" customHeight="true" outlineLevel="0" collapsed="false">
      <c r="A25" s="12" t="n">
        <v>19</v>
      </c>
      <c r="B25" s="29" t="n">
        <f aca="false">IF($A25=0,0,$A25*Tom_BaseLabor*SeasonLength*(1+Tom_DR)^$A25)</f>
        <v>10458.2044666789</v>
      </c>
      <c r="C25" s="29" t="n">
        <f aca="false">MIN(B25,FarmerHours)</f>
        <v>720</v>
      </c>
      <c r="D25" s="29" t="n">
        <f aca="false">MAX(B25-FarmerHours,0)</f>
        <v>9738.2044666789</v>
      </c>
      <c r="E25" s="12" t="n">
        <f aca="false">IF(D25=0,0,ROUNDUP(D25/TempWorkerHours,0))</f>
        <v>7</v>
      </c>
      <c r="F25" s="30" t="b">
        <f aca="false">AND(B25&lt;=MaxLaborCapacity,E25&lt;=MaxTempWorkers)</f>
        <v>0</v>
      </c>
      <c r="G25" s="31" t="n">
        <f aca="false">C25*FarmerRate</f>
        <v>24998.4</v>
      </c>
      <c r="H25" s="31" t="n">
        <f aca="false">D25*TempRate</f>
        <v>169055.229541546</v>
      </c>
      <c r="I25" s="31" t="n">
        <f aca="false">$A25*Tom_Fert</f>
        <v>16720</v>
      </c>
      <c r="J25" s="31" t="n">
        <f aca="false">G25+H25</f>
        <v>194053.629541546</v>
      </c>
      <c r="K25" s="31" t="n">
        <f aca="false">FixedCosts+I25+J25</f>
        <v>230773.629541546</v>
      </c>
      <c r="L25" s="31" t="n">
        <f aca="false">K25-K24</f>
        <v>26071.7629507408</v>
      </c>
      <c r="M25" s="31" t="n">
        <f aca="false">Tom_Rev</f>
        <v>8800</v>
      </c>
      <c r="N25" s="30" t="b">
        <f aca="false">L25&lt;=M25</f>
        <v>0</v>
      </c>
      <c r="O25" s="31" t="n">
        <f aca="false">ABS(M25-L25)</f>
        <v>17271.7629507408</v>
      </c>
    </row>
    <row r="26" customFormat="false" ht="15" hidden="false" customHeight="true" outlineLevel="0" collapsed="false">
      <c r="A26" s="12" t="n">
        <v>20</v>
      </c>
      <c r="B26" s="29" t="n">
        <f aca="false">IF($A26=0,0,$A26*Tom_BaseLabor*SeasonLength*(1+Tom_DR)^$A26)</f>
        <v>12109.4999087861</v>
      </c>
      <c r="C26" s="29" t="n">
        <f aca="false">MIN(B26,FarmerHours)</f>
        <v>720</v>
      </c>
      <c r="D26" s="29" t="n">
        <f aca="false">MAX(B26-FarmerHours,0)</f>
        <v>11389.4999087861</v>
      </c>
      <c r="E26" s="12" t="n">
        <f aca="false">IF(D26=0,0,ROUNDUP(D26/TempWorkerHours,0))</f>
        <v>8</v>
      </c>
      <c r="F26" s="30" t="b">
        <f aca="false">AND(B26&lt;=MaxLaborCapacity,E26&lt;=MaxTempWorkers)</f>
        <v>0</v>
      </c>
      <c r="G26" s="31" t="n">
        <f aca="false">C26*FarmerRate</f>
        <v>24998.4</v>
      </c>
      <c r="H26" s="31" t="n">
        <f aca="false">D26*TempRate</f>
        <v>197721.718416527</v>
      </c>
      <c r="I26" s="31" t="n">
        <f aca="false">$A26*Tom_Fert</f>
        <v>17600</v>
      </c>
      <c r="J26" s="31" t="n">
        <f aca="false">G26+H26</f>
        <v>222720.118416527</v>
      </c>
      <c r="K26" s="31" t="n">
        <f aca="false">FixedCosts+I26+J26</f>
        <v>260320.118416527</v>
      </c>
      <c r="L26" s="31" t="n">
        <f aca="false">K26-K25</f>
        <v>29546.4888749809</v>
      </c>
      <c r="M26" s="31" t="n">
        <f aca="false">Tom_Rev</f>
        <v>8800</v>
      </c>
      <c r="N26" s="30" t="b">
        <f aca="false">L26&lt;=M26</f>
        <v>0</v>
      </c>
      <c r="O26" s="31" t="n">
        <f aca="false">ABS(M26-L26)</f>
        <v>20746.4888749809</v>
      </c>
    </row>
  </sheetData>
  <mergeCells count="2">
    <mergeCell ref="A1:O1"/>
    <mergeCell ref="A2:O2"/>
  </mergeCells>
  <conditionalFormatting sqref="O7:O26">
    <cfRule type="colorScale" priority="2">
      <colorScale>
        <cfvo type="min" val="0"/>
        <cfvo type="percentile" val="50"/>
        <cfvo type="max" val="0"/>
        <color rgb="FF63BE7B"/>
        <color rgb="FFFFEB84"/>
        <color rgb="FFF8696B"/>
      </colorScale>
    </cfRule>
  </conditionalFormatting>
  <conditionalFormatting sqref="F6:F26">
    <cfRule type="cellIs" priority="3" operator="equal" aboveAverage="0" equalAverage="0" bottom="0" percent="0" rank="0" text="" dxfId="0">
      <formula>1</formula>
    </cfRule>
    <cfRule type="cellIs" priority="4" operator="equal" aboveAverage="0" equalAverage="0" bottom="0" percent="0" rank="0" text="" dxfId="1">
      <formula>0</formula>
    </cfRule>
  </conditionalFormatting>
  <conditionalFormatting sqref="N6:N26">
    <cfRule type="cellIs" priority="5" operator="equal" aboveAverage="0" equalAverage="0" bottom="0" percent="0" rank="0" text="" dxfId="0">
      <formula>1</formula>
    </cfRule>
    <cfRule type="cellIs" priority="6" operator="equal"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8"/>
    <col collapsed="false" customWidth="true" hidden="false" outlineLevel="0" max="2" min="2" style="1" width="13"/>
    <col collapsed="false" customWidth="true" hidden="false" outlineLevel="0" max="3" min="3" style="1" width="15"/>
    <col collapsed="false" customWidth="true" hidden="false" outlineLevel="0" max="4" min="4" style="1" width="13"/>
    <col collapsed="false" customWidth="true" hidden="false" outlineLevel="0" max="5" min="5" style="1" width="14"/>
    <col collapsed="false" customWidth="true" hidden="false" outlineLevel="0" max="6" min="6" style="1" width="11"/>
    <col collapsed="false" customWidth="true" hidden="false" outlineLevel="0" max="7" min="7" style="1" width="14"/>
    <col collapsed="false" customWidth="true" hidden="false" outlineLevel="0" max="8" min="8" style="1" width="13"/>
    <col collapsed="false" customWidth="true" hidden="false" outlineLevel="0" max="9" min="9" style="1" width="12"/>
    <col collapsed="false" customWidth="true" hidden="false" outlineLevel="0" max="10" min="10" style="1" width="14"/>
    <col collapsed="false" customWidth="true" hidden="false" outlineLevel="0" max="11" min="11" style="1" width="16"/>
    <col collapsed="false" customWidth="true" hidden="false" outlineLevel="0" max="13" min="12" style="1" width="13"/>
    <col collapsed="false" customWidth="true" hidden="false" outlineLevel="0" max="14" min="14" style="1" width="11"/>
    <col collapsed="false" customWidth="true" hidden="false" outlineLevel="0" max="15" min="15" style="1" width="14"/>
  </cols>
  <sheetData>
    <row r="1" customFormat="false" ht="21.75" hidden="false" customHeight="true" outlineLevel="0" collapsed="false">
      <c r="A1" s="2" t="s">
        <v>104</v>
      </c>
      <c r="B1" s="2"/>
      <c r="C1" s="2"/>
      <c r="D1" s="2"/>
      <c r="E1" s="2"/>
      <c r="F1" s="2"/>
      <c r="G1" s="2"/>
      <c r="H1" s="2"/>
      <c r="I1" s="2"/>
      <c r="J1" s="2"/>
      <c r="K1" s="2"/>
      <c r="L1" s="2"/>
      <c r="M1" s="2"/>
      <c r="N1" s="2"/>
      <c r="O1" s="2"/>
    </row>
    <row r="2" customFormat="false" ht="42" hidden="false" customHeight="true" outlineLevel="0" collapsed="false">
      <c r="A2" s="11" t="s">
        <v>105</v>
      </c>
      <c r="B2" s="11"/>
      <c r="C2" s="11"/>
      <c r="D2" s="11"/>
      <c r="E2" s="11"/>
      <c r="F2" s="11"/>
      <c r="G2" s="11"/>
      <c r="H2" s="11"/>
      <c r="I2" s="11"/>
      <c r="J2" s="11"/>
      <c r="K2" s="11"/>
      <c r="L2" s="11"/>
      <c r="M2" s="11"/>
      <c r="N2" s="11"/>
      <c r="O2" s="11"/>
    </row>
    <row r="5" customFormat="false" ht="23.25" hidden="false" customHeight="true" outlineLevel="0" collapsed="false">
      <c r="A5" s="3" t="s">
        <v>92</v>
      </c>
      <c r="B5" s="3" t="s">
        <v>93</v>
      </c>
      <c r="C5" s="3" t="s">
        <v>69</v>
      </c>
      <c r="D5" s="3" t="s">
        <v>94</v>
      </c>
      <c r="E5" s="3" t="s">
        <v>95</v>
      </c>
      <c r="F5" s="3" t="s">
        <v>96</v>
      </c>
      <c r="G5" s="3" t="s">
        <v>74</v>
      </c>
      <c r="H5" s="3" t="s">
        <v>97</v>
      </c>
      <c r="I5" s="3" t="s">
        <v>98</v>
      </c>
      <c r="J5" s="3" t="s">
        <v>76</v>
      </c>
      <c r="K5" s="3" t="s">
        <v>99</v>
      </c>
      <c r="L5" s="3" t="s">
        <v>100</v>
      </c>
      <c r="M5" s="3" t="s">
        <v>101</v>
      </c>
      <c r="N5" s="3" t="s">
        <v>102</v>
      </c>
      <c r="O5" s="3" t="s">
        <v>103</v>
      </c>
    </row>
    <row r="6" customFormat="false" ht="15" hidden="false" customHeight="true" outlineLevel="0" collapsed="false">
      <c r="A6" s="12" t="n">
        <v>0</v>
      </c>
      <c r="B6" s="29" t="n">
        <f aca="false">IF($A6=0,0,$A6*Car_BaseLabor*SeasonLength*(1+Car_DR)^$A6)</f>
        <v>0</v>
      </c>
      <c r="C6" s="29" t="n">
        <f aca="false">MIN(B6,FarmerHours)</f>
        <v>0</v>
      </c>
      <c r="D6" s="29" t="n">
        <f aca="false">MAX(B6-FarmerHours,0)</f>
        <v>0</v>
      </c>
      <c r="E6" s="12" t="n">
        <f aca="false">IF(D6=0,0,ROUNDUP(D6/TempWorkerHours,0))</f>
        <v>0</v>
      </c>
      <c r="F6" s="30" t="b">
        <f aca="false">AND(B6&lt;=MaxLaborCapacity,E6&lt;=MaxTempWorkers)</f>
        <v>1</v>
      </c>
      <c r="G6" s="31" t="n">
        <f aca="false">C6*FarmerRate</f>
        <v>0</v>
      </c>
      <c r="H6" s="31" t="n">
        <f aca="false">D6*TempRate</f>
        <v>0</v>
      </c>
      <c r="I6" s="31" t="n">
        <f aca="false">$A6*Car_Fert</f>
        <v>0</v>
      </c>
      <c r="J6" s="31" t="n">
        <f aca="false">G6+H6</f>
        <v>0</v>
      </c>
      <c r="K6" s="31" t="n">
        <f aca="false">FixedCosts+I6+J6</f>
        <v>20000</v>
      </c>
      <c r="L6" s="32"/>
      <c r="M6" s="31" t="n">
        <f aca="false">Car_Rev</f>
        <v>2094</v>
      </c>
      <c r="N6" s="32"/>
      <c r="O6" s="32"/>
    </row>
    <row r="7" customFormat="false" ht="15" hidden="false" customHeight="true" outlineLevel="0" collapsed="false">
      <c r="A7" s="12" t="n">
        <v>1</v>
      </c>
      <c r="B7" s="29" t="n">
        <f aca="false">IF($A7=0,0,$A7*Car_BaseLabor*SeasonLength*(1+Car_DR)^$A7)</f>
        <v>30.7377</v>
      </c>
      <c r="C7" s="29" t="n">
        <f aca="false">MIN(B7,FarmerHours)</f>
        <v>30.7377</v>
      </c>
      <c r="D7" s="29" t="n">
        <f aca="false">MAX(B7-FarmerHours,0)</f>
        <v>0</v>
      </c>
      <c r="E7" s="12" t="n">
        <f aca="false">IF(D7=0,0,ROUNDUP(D7/TempWorkerHours,0))</f>
        <v>0</v>
      </c>
      <c r="F7" s="30" t="b">
        <f aca="false">AND(B7&lt;=MaxLaborCapacity,E7&lt;=MaxTempWorkers)</f>
        <v>1</v>
      </c>
      <c r="G7" s="31" t="n">
        <f aca="false">C7*FarmerRate</f>
        <v>1067.212944</v>
      </c>
      <c r="H7" s="31" t="n">
        <f aca="false">D7*TempRate</f>
        <v>0</v>
      </c>
      <c r="I7" s="31" t="n">
        <f aca="false">$A7*Car_Fert</f>
        <v>440</v>
      </c>
      <c r="J7" s="31" t="n">
        <f aca="false">G7+H7</f>
        <v>1067.212944</v>
      </c>
      <c r="K7" s="31" t="n">
        <f aca="false">FixedCosts+I7+J7</f>
        <v>21507.212944</v>
      </c>
      <c r="L7" s="31" t="n">
        <f aca="false">K7-K6</f>
        <v>1507.212944</v>
      </c>
      <c r="M7" s="31" t="n">
        <f aca="false">Car_Rev</f>
        <v>2094</v>
      </c>
      <c r="N7" s="30" t="b">
        <f aca="false">L7&lt;=M7</f>
        <v>1</v>
      </c>
      <c r="O7" s="31" t="n">
        <f aca="false">ABS(M7-L7)</f>
        <v>586.787056000001</v>
      </c>
    </row>
    <row r="8" customFormat="false" ht="15" hidden="false" customHeight="true" outlineLevel="0" collapsed="false">
      <c r="A8" s="12" t="n">
        <v>2</v>
      </c>
      <c r="B8" s="29" t="n">
        <f aca="false">IF($A8=0,0,$A8*Car_BaseLabor*SeasonLength*(1+Car_DR)^$A8)</f>
        <v>63.012285</v>
      </c>
      <c r="C8" s="29" t="n">
        <f aca="false">MIN(B8,FarmerHours)</f>
        <v>63.012285</v>
      </c>
      <c r="D8" s="29" t="n">
        <f aca="false">MAX(B8-FarmerHours,0)</f>
        <v>0</v>
      </c>
      <c r="E8" s="12" t="n">
        <f aca="false">IF(D8=0,0,ROUNDUP(D8/TempWorkerHours,0))</f>
        <v>0</v>
      </c>
      <c r="F8" s="30" t="b">
        <f aca="false">AND(B8&lt;=MaxLaborCapacity,E8&lt;=MaxTempWorkers)</f>
        <v>1</v>
      </c>
      <c r="G8" s="31" t="n">
        <f aca="false">C8*FarmerRate</f>
        <v>2187.7865352</v>
      </c>
      <c r="H8" s="31" t="n">
        <f aca="false">D8*TempRate</f>
        <v>0</v>
      </c>
      <c r="I8" s="31" t="n">
        <f aca="false">$A8*Car_Fert</f>
        <v>880</v>
      </c>
      <c r="J8" s="31" t="n">
        <f aca="false">G8+H8</f>
        <v>2187.7865352</v>
      </c>
      <c r="K8" s="31" t="n">
        <f aca="false">FixedCosts+I8+J8</f>
        <v>23067.7865352</v>
      </c>
      <c r="L8" s="31" t="n">
        <f aca="false">K8-K7</f>
        <v>1560.5735912</v>
      </c>
      <c r="M8" s="31" t="n">
        <f aca="false">Car_Rev</f>
        <v>2094</v>
      </c>
      <c r="N8" s="30" t="b">
        <f aca="false">L8&lt;=M8</f>
        <v>1</v>
      </c>
      <c r="O8" s="31" t="n">
        <f aca="false">ABS(M8-L8)</f>
        <v>533.426408799998</v>
      </c>
    </row>
    <row r="9" customFormat="false" ht="15" hidden="false" customHeight="true" outlineLevel="0" collapsed="false">
      <c r="A9" s="12" t="n">
        <v>3</v>
      </c>
      <c r="B9" s="29" t="n">
        <f aca="false">IF($A9=0,0,$A9*Car_BaseLabor*SeasonLength*(1+Car_DR)^$A9)</f>
        <v>96.8813881875</v>
      </c>
      <c r="C9" s="29" t="n">
        <f aca="false">MIN(B9,FarmerHours)</f>
        <v>96.8813881875</v>
      </c>
      <c r="D9" s="29" t="n">
        <f aca="false">MAX(B9-FarmerHours,0)</f>
        <v>0</v>
      </c>
      <c r="E9" s="12" t="n">
        <f aca="false">IF(D9=0,0,ROUNDUP(D9/TempWorkerHours,0))</f>
        <v>0</v>
      </c>
      <c r="F9" s="30" t="b">
        <f aca="false">AND(B9&lt;=MaxLaborCapacity,E9&lt;=MaxTempWorkers)</f>
        <v>1</v>
      </c>
      <c r="G9" s="31" t="n">
        <f aca="false">C9*FarmerRate</f>
        <v>3363.72179787</v>
      </c>
      <c r="H9" s="31" t="n">
        <f aca="false">D9*TempRate</f>
        <v>0</v>
      </c>
      <c r="I9" s="31" t="n">
        <f aca="false">$A9*Car_Fert</f>
        <v>1320</v>
      </c>
      <c r="J9" s="31" t="n">
        <f aca="false">G9+H9</f>
        <v>3363.72179787</v>
      </c>
      <c r="K9" s="31" t="n">
        <f aca="false">FixedCosts+I9+J9</f>
        <v>24683.72179787</v>
      </c>
      <c r="L9" s="31" t="n">
        <f aca="false">K9-K8</f>
        <v>1615.93526267</v>
      </c>
      <c r="M9" s="31" t="n">
        <f aca="false">Car_Rev</f>
        <v>2094</v>
      </c>
      <c r="N9" s="30" t="b">
        <f aca="false">L9&lt;=M9</f>
        <v>1</v>
      </c>
      <c r="O9" s="31" t="n">
        <f aca="false">ABS(M9-L9)</f>
        <v>478.064737330002</v>
      </c>
    </row>
    <row r="10" customFormat="false" ht="15" hidden="false" customHeight="true" outlineLevel="0" collapsed="false">
      <c r="A10" s="12" t="n">
        <v>4</v>
      </c>
      <c r="B10" s="29" t="n">
        <f aca="false">IF($A10=0,0,$A10*Car_BaseLabor*SeasonLength*(1+Car_DR)^$A10)</f>
        <v>132.40456385625</v>
      </c>
      <c r="C10" s="29" t="n">
        <f aca="false">MIN(B10,FarmerHours)</f>
        <v>132.40456385625</v>
      </c>
      <c r="D10" s="29" t="n">
        <f aca="false">MAX(B10-FarmerHours,0)</f>
        <v>0</v>
      </c>
      <c r="E10" s="12" t="n">
        <f aca="false">IF(D10=0,0,ROUNDUP(D10/TempWorkerHours,0))</f>
        <v>0</v>
      </c>
      <c r="F10" s="30" t="b">
        <f aca="false">AND(B10&lt;=MaxLaborCapacity,E10&lt;=MaxTempWorkers)</f>
        <v>1</v>
      </c>
      <c r="G10" s="31" t="n">
        <f aca="false">C10*FarmerRate</f>
        <v>4597.086457089</v>
      </c>
      <c r="H10" s="31" t="n">
        <f aca="false">D10*TempRate</f>
        <v>0</v>
      </c>
      <c r="I10" s="31" t="n">
        <f aca="false">$A10*Car_Fert</f>
        <v>1760</v>
      </c>
      <c r="J10" s="31" t="n">
        <f aca="false">G10+H10</f>
        <v>4597.086457089</v>
      </c>
      <c r="K10" s="31" t="n">
        <f aca="false">FixedCosts+I10+J10</f>
        <v>26357.086457089</v>
      </c>
      <c r="L10" s="31" t="n">
        <f aca="false">K10-K9</f>
        <v>1673.364659219</v>
      </c>
      <c r="M10" s="31" t="n">
        <f aca="false">Car_Rev</f>
        <v>2094</v>
      </c>
      <c r="N10" s="30" t="b">
        <f aca="false">L10&lt;=M10</f>
        <v>1</v>
      </c>
      <c r="O10" s="31" t="n">
        <f aca="false">ABS(M10-L10)</f>
        <v>420.635340781002</v>
      </c>
    </row>
    <row r="11" customFormat="false" ht="15" hidden="false" customHeight="true" outlineLevel="0" collapsed="false">
      <c r="A11" s="12" t="n">
        <v>5</v>
      </c>
      <c r="B11" s="29" t="n">
        <f aca="false">IF($A11=0,0,$A11*Car_BaseLabor*SeasonLength*(1+Car_DR)^$A11)</f>
        <v>169.64334744082</v>
      </c>
      <c r="C11" s="29" t="n">
        <f aca="false">MIN(B11,FarmerHours)</f>
        <v>169.64334744082</v>
      </c>
      <c r="D11" s="29" t="n">
        <f aca="false">MAX(B11-FarmerHours,0)</f>
        <v>0</v>
      </c>
      <c r="E11" s="12" t="n">
        <f aca="false">IF(D11=0,0,ROUNDUP(D11/TempWorkerHours,0))</f>
        <v>0</v>
      </c>
      <c r="F11" s="30" t="b">
        <f aca="false">AND(B11&lt;=MaxLaborCapacity,E11&lt;=MaxTempWorkers)</f>
        <v>1</v>
      </c>
      <c r="G11" s="31" t="n">
        <f aca="false">C11*FarmerRate</f>
        <v>5890.01702314528</v>
      </c>
      <c r="H11" s="31" t="n">
        <f aca="false">D11*TempRate</f>
        <v>0</v>
      </c>
      <c r="I11" s="31" t="n">
        <f aca="false">$A11*Car_Fert</f>
        <v>2200</v>
      </c>
      <c r="J11" s="31" t="n">
        <f aca="false">G11+H11</f>
        <v>5890.01702314528</v>
      </c>
      <c r="K11" s="31" t="n">
        <f aca="false">FixedCosts+I11+J11</f>
        <v>28090.0170231453</v>
      </c>
      <c r="L11" s="31" t="n">
        <f aca="false">K11-K10</f>
        <v>1732.93056605628</v>
      </c>
      <c r="M11" s="31" t="n">
        <f aca="false">Car_Rev</f>
        <v>2094</v>
      </c>
      <c r="N11" s="30" t="b">
        <f aca="false">L11&lt;=M11</f>
        <v>1</v>
      </c>
      <c r="O11" s="31" t="n">
        <f aca="false">ABS(M11-L11)</f>
        <v>361.069433943718</v>
      </c>
    </row>
    <row r="12" customFormat="false" ht="15" hidden="false" customHeight="true" outlineLevel="0" collapsed="false">
      <c r="A12" s="12" t="n">
        <v>6</v>
      </c>
      <c r="B12" s="29" t="n">
        <f aca="false">IF($A12=0,0,$A12*Car_BaseLabor*SeasonLength*(1+Car_DR)^$A12)</f>
        <v>208.661317352209</v>
      </c>
      <c r="C12" s="29" t="n">
        <f aca="false">MIN(B12,FarmerHours)</f>
        <v>208.661317352209</v>
      </c>
      <c r="D12" s="29" t="n">
        <f aca="false">MAX(B12-FarmerHours,0)</f>
        <v>0</v>
      </c>
      <c r="E12" s="12" t="n">
        <f aca="false">IF(D12=0,0,ROUNDUP(D12/TempWorkerHours,0))</f>
        <v>0</v>
      </c>
      <c r="F12" s="30" t="b">
        <f aca="false">AND(B12&lt;=MaxLaborCapacity,E12&lt;=MaxTempWorkers)</f>
        <v>1</v>
      </c>
      <c r="G12" s="31" t="n">
        <f aca="false">C12*FarmerRate</f>
        <v>7244.72093846869</v>
      </c>
      <c r="H12" s="31" t="n">
        <f aca="false">D12*TempRate</f>
        <v>0</v>
      </c>
      <c r="I12" s="31" t="n">
        <f aca="false">$A12*Car_Fert</f>
        <v>2640</v>
      </c>
      <c r="J12" s="31" t="n">
        <f aca="false">G12+H12</f>
        <v>7244.72093846869</v>
      </c>
      <c r="K12" s="31" t="n">
        <f aca="false">FixedCosts+I12+J12</f>
        <v>29884.7209384687</v>
      </c>
      <c r="L12" s="31" t="n">
        <f aca="false">K12-K11</f>
        <v>1794.70391532341</v>
      </c>
      <c r="M12" s="31" t="n">
        <f aca="false">Car_Rev</f>
        <v>2094</v>
      </c>
      <c r="N12" s="30" t="b">
        <f aca="false">L12&lt;=M12</f>
        <v>1</v>
      </c>
      <c r="O12" s="31" t="n">
        <f aca="false">ABS(M12-L12)</f>
        <v>299.296084676589</v>
      </c>
    </row>
    <row r="13" customFormat="false" ht="15" hidden="false" customHeight="true" outlineLevel="0" collapsed="false">
      <c r="A13" s="12" t="n">
        <v>7</v>
      </c>
      <c r="B13" s="29" t="n">
        <f aca="false">IF($A13=0,0,$A13*Car_BaseLabor*SeasonLength*(1+Car_DR)^$A13)</f>
        <v>249.524158667016</v>
      </c>
      <c r="C13" s="29" t="n">
        <f aca="false">MIN(B13,FarmerHours)</f>
        <v>249.524158667016</v>
      </c>
      <c r="D13" s="29" t="n">
        <f aca="false">MAX(B13-FarmerHours,0)</f>
        <v>0</v>
      </c>
      <c r="E13" s="12" t="n">
        <f aca="false">IF(D13=0,0,ROUNDUP(D13/TempWorkerHours,0))</f>
        <v>0</v>
      </c>
      <c r="F13" s="30" t="b">
        <f aca="false">AND(B13&lt;=MaxLaborCapacity,E13&lt;=MaxTempWorkers)</f>
        <v>1</v>
      </c>
      <c r="G13" s="31" t="n">
        <f aca="false">C13*FarmerRate</f>
        <v>8663.47878891881</v>
      </c>
      <c r="H13" s="31" t="n">
        <f aca="false">D13*TempRate</f>
        <v>0</v>
      </c>
      <c r="I13" s="31" t="n">
        <f aca="false">$A13*Car_Fert</f>
        <v>3080</v>
      </c>
      <c r="J13" s="31" t="n">
        <f aca="false">G13+H13</f>
        <v>8663.47878891881</v>
      </c>
      <c r="K13" s="31" t="n">
        <f aca="false">FixedCosts+I13+J13</f>
        <v>31743.4787889188</v>
      </c>
      <c r="L13" s="31" t="n">
        <f aca="false">K13-K12</f>
        <v>1858.75785045012</v>
      </c>
      <c r="M13" s="31" t="n">
        <f aca="false">Car_Rev</f>
        <v>2094</v>
      </c>
      <c r="N13" s="30" t="b">
        <f aca="false">L13&lt;=M13</f>
        <v>1</v>
      </c>
      <c r="O13" s="31" t="n">
        <f aca="false">ABS(M13-L13)</f>
        <v>235.242149549882</v>
      </c>
    </row>
    <row r="14" customFormat="false" ht="15" hidden="false" customHeight="true" outlineLevel="0" collapsed="false">
      <c r="A14" s="12" t="n">
        <v>8</v>
      </c>
      <c r="B14" s="29" t="n">
        <f aca="false">IF($A14=0,0,$A14*Car_BaseLabor*SeasonLength*(1+Car_DR)^$A14)</f>
        <v>292.299728724219</v>
      </c>
      <c r="C14" s="29" t="n">
        <f aca="false">MIN(B14,FarmerHours)</f>
        <v>292.299728724219</v>
      </c>
      <c r="D14" s="29" t="n">
        <f aca="false">MAX(B14-FarmerHours,0)</f>
        <v>0</v>
      </c>
      <c r="E14" s="12" t="n">
        <f aca="false">IF(D14=0,0,ROUNDUP(D14/TempWorkerHours,0))</f>
        <v>0</v>
      </c>
      <c r="F14" s="30" t="b">
        <f aca="false">AND(B14&lt;=MaxLaborCapacity,E14&lt;=MaxTempWorkers)</f>
        <v>1</v>
      </c>
      <c r="G14" s="31" t="n">
        <f aca="false">C14*FarmerRate</f>
        <v>10148.6465813049</v>
      </c>
      <c r="H14" s="31" t="n">
        <f aca="false">D14*TempRate</f>
        <v>0</v>
      </c>
      <c r="I14" s="31" t="n">
        <f aca="false">$A14*Car_Fert</f>
        <v>3520</v>
      </c>
      <c r="J14" s="31" t="n">
        <f aca="false">G14+H14</f>
        <v>10148.6465813049</v>
      </c>
      <c r="K14" s="31" t="n">
        <f aca="false">FixedCosts+I14+J14</f>
        <v>33668.6465813049</v>
      </c>
      <c r="L14" s="31" t="n">
        <f aca="false">K14-K13</f>
        <v>1925.16779238608</v>
      </c>
      <c r="M14" s="31" t="n">
        <f aca="false">Car_Rev</f>
        <v>2094</v>
      </c>
      <c r="N14" s="30" t="b">
        <f aca="false">L14&lt;=M14</f>
        <v>1</v>
      </c>
      <c r="O14" s="31" t="n">
        <f aca="false">ABS(M14-L14)</f>
        <v>168.832207613923</v>
      </c>
    </row>
    <row r="15" customFormat="false" ht="15" hidden="false" customHeight="true" outlineLevel="0" collapsed="false">
      <c r="A15" s="12" t="n">
        <v>9</v>
      </c>
      <c r="B15" s="29" t="n">
        <f aca="false">IF($A15=0,0,$A15*Car_BaseLabor*SeasonLength*(1+Car_DR)^$A15)</f>
        <v>337.058124685115</v>
      </c>
      <c r="C15" s="29" t="n">
        <f aca="false">MIN(B15,FarmerHours)</f>
        <v>337.058124685115</v>
      </c>
      <c r="D15" s="29" t="n">
        <f aca="false">MAX(B15-FarmerHours,0)</f>
        <v>0</v>
      </c>
      <c r="E15" s="12" t="n">
        <f aca="false">IF(D15=0,0,ROUNDUP(D15/TempWorkerHours,0))</f>
        <v>0</v>
      </c>
      <c r="F15" s="30" t="b">
        <f aca="false">AND(B15&lt;=MaxLaborCapacity,E15&lt;=MaxTempWorkers)</f>
        <v>1</v>
      </c>
      <c r="G15" s="31" t="n">
        <f aca="false">C15*FarmerRate</f>
        <v>11702.6580890672</v>
      </c>
      <c r="H15" s="31" t="n">
        <f aca="false">D15*TempRate</f>
        <v>0</v>
      </c>
      <c r="I15" s="31" t="n">
        <f aca="false">$A15*Car_Fert</f>
        <v>3960</v>
      </c>
      <c r="J15" s="31" t="n">
        <f aca="false">G15+H15</f>
        <v>11702.6580890672</v>
      </c>
      <c r="K15" s="31" t="n">
        <f aca="false">FixedCosts+I15+J15</f>
        <v>35662.6580890672</v>
      </c>
      <c r="L15" s="31" t="n">
        <f aca="false">K15-K14</f>
        <v>1994.01150776232</v>
      </c>
      <c r="M15" s="31" t="n">
        <f aca="false">Car_Rev</f>
        <v>2094</v>
      </c>
      <c r="N15" s="30" t="b">
        <f aca="false">L15&lt;=M15</f>
        <v>1</v>
      </c>
      <c r="O15" s="31" t="n">
        <f aca="false">ABS(M15-L15)</f>
        <v>99.9884922376805</v>
      </c>
    </row>
    <row r="16" customFormat="false" ht="15" hidden="false" customHeight="true" outlineLevel="0" collapsed="false">
      <c r="A16" s="12" t="n">
        <v>10</v>
      </c>
      <c r="B16" s="29" t="n">
        <f aca="false">IF($A16=0,0,$A16*Car_BaseLabor*SeasonLength*(1+Car_DR)^$A16)</f>
        <v>383.871753113603</v>
      </c>
      <c r="C16" s="29" t="n">
        <f aca="false">MIN(B16,FarmerHours)</f>
        <v>383.871753113603</v>
      </c>
      <c r="D16" s="29" t="n">
        <f aca="false">MAX(B16-FarmerHours,0)</f>
        <v>0</v>
      </c>
      <c r="E16" s="12" t="n">
        <f aca="false">IF(D16=0,0,ROUNDUP(D16/TempWorkerHours,0))</f>
        <v>0</v>
      </c>
      <c r="F16" s="30" t="b">
        <f aca="false">AND(B16&lt;=MaxLaborCapacity,E16&lt;=MaxTempWorkers)</f>
        <v>1</v>
      </c>
      <c r="G16" s="31" t="n">
        <f aca="false">C16*FarmerRate</f>
        <v>13328.0272681043</v>
      </c>
      <c r="H16" s="31" t="n">
        <f aca="false">D16*TempRate</f>
        <v>0</v>
      </c>
      <c r="I16" s="31" t="n">
        <f aca="false">$A16*Car_Fert</f>
        <v>4400</v>
      </c>
      <c r="J16" s="31" t="n">
        <f aca="false">G16+H16</f>
        <v>13328.0272681043</v>
      </c>
      <c r="K16" s="31" t="n">
        <f aca="false">FixedCosts+I16+J16</f>
        <v>37728.0272681043</v>
      </c>
      <c r="L16" s="31" t="n">
        <f aca="false">K16-K15</f>
        <v>2065.36917903711</v>
      </c>
      <c r="M16" s="31" t="n">
        <f aca="false">Car_Rev</f>
        <v>2094</v>
      </c>
      <c r="N16" s="30" t="b">
        <f aca="false">L16&lt;=M16</f>
        <v>1</v>
      </c>
      <c r="O16" s="31" t="n">
        <f aca="false">ABS(M16-L16)</f>
        <v>28.6308209628915</v>
      </c>
    </row>
    <row r="17" customFormat="false" ht="15" hidden="false" customHeight="true" outlineLevel="0" collapsed="false">
      <c r="A17" s="12" t="n">
        <v>11</v>
      </c>
      <c r="B17" s="29" t="n">
        <f aca="false">IF($A17=0,0,$A17*Car_BaseLabor*SeasonLength*(1+Car_DR)^$A17)</f>
        <v>432.815401635588</v>
      </c>
      <c r="C17" s="29" t="n">
        <f aca="false">MIN(B17,FarmerHours)</f>
        <v>432.815401635588</v>
      </c>
      <c r="D17" s="29" t="n">
        <f aca="false">MAX(B17-FarmerHours,0)</f>
        <v>0</v>
      </c>
      <c r="E17" s="12" t="n">
        <f aca="false">IF(D17=0,0,ROUNDUP(D17/TempWorkerHours,0))</f>
        <v>0</v>
      </c>
      <c r="F17" s="30" t="b">
        <f aca="false">AND(B17&lt;=MaxLaborCapacity,E17&lt;=MaxTempWorkers)</f>
        <v>1</v>
      </c>
      <c r="G17" s="31" t="n">
        <f aca="false">C17*FarmerRate</f>
        <v>15027.3507447876</v>
      </c>
      <c r="H17" s="31" t="n">
        <f aca="false">D17*TempRate</f>
        <v>0</v>
      </c>
      <c r="I17" s="31" t="n">
        <f aca="false">$A17*Car_Fert</f>
        <v>4840</v>
      </c>
      <c r="J17" s="31" t="n">
        <f aca="false">G17+H17</f>
        <v>15027.3507447876</v>
      </c>
      <c r="K17" s="31" t="n">
        <f aca="false">FixedCosts+I17+J17</f>
        <v>39867.3507447876</v>
      </c>
      <c r="L17" s="31" t="n">
        <f aca="false">K17-K16</f>
        <v>2139.3234766833</v>
      </c>
      <c r="M17" s="31" t="n">
        <f aca="false">Car_Rev</f>
        <v>2094</v>
      </c>
      <c r="N17" s="30" t="b">
        <f aca="false">L17&lt;=M17</f>
        <v>0</v>
      </c>
      <c r="O17" s="31" t="n">
        <f aca="false">ABS(M17-L17)</f>
        <v>45.3234766832975</v>
      </c>
    </row>
    <row r="18" customFormat="false" ht="15" hidden="false" customHeight="true" outlineLevel="0" collapsed="false">
      <c r="A18" s="12" t="n">
        <v>12</v>
      </c>
      <c r="B18" s="29" t="n">
        <f aca="false">IF($A18=0,0,$A18*Car_BaseLabor*SeasonLength*(1+Car_DR)^$A18)</f>
        <v>483.966312737975</v>
      </c>
      <c r="C18" s="29" t="n">
        <f aca="false">MIN(B18,FarmerHours)</f>
        <v>483.966312737975</v>
      </c>
      <c r="D18" s="29" t="n">
        <f aca="false">MAX(B18-FarmerHours,0)</f>
        <v>0</v>
      </c>
      <c r="E18" s="12" t="n">
        <f aca="false">IF(D18=0,0,ROUNDUP(D18/TempWorkerHours,0))</f>
        <v>0</v>
      </c>
      <c r="F18" s="30" t="b">
        <f aca="false">AND(B18&lt;=MaxLaborCapacity,E18&lt;=MaxTempWorkers)</f>
        <v>1</v>
      </c>
      <c r="G18" s="31" t="n">
        <f aca="false">C18*FarmerRate</f>
        <v>16803.3103782625</v>
      </c>
      <c r="H18" s="31" t="n">
        <f aca="false">D18*TempRate</f>
        <v>0</v>
      </c>
      <c r="I18" s="31" t="n">
        <f aca="false">$A18*Car_Fert</f>
        <v>5280</v>
      </c>
      <c r="J18" s="31" t="n">
        <f aca="false">G18+H18</f>
        <v>16803.3103782625</v>
      </c>
      <c r="K18" s="31" t="n">
        <f aca="false">FixedCosts+I18+J18</f>
        <v>42083.3103782625</v>
      </c>
      <c r="L18" s="31" t="n">
        <f aca="false">K18-K17</f>
        <v>2215.95963347489</v>
      </c>
      <c r="M18" s="31" t="n">
        <f aca="false">Car_Rev</f>
        <v>2094</v>
      </c>
      <c r="N18" s="30" t="b">
        <f aca="false">L18&lt;=M18</f>
        <v>0</v>
      </c>
      <c r="O18" s="31" t="n">
        <f aca="false">ABS(M18-L18)</f>
        <v>121.959633474893</v>
      </c>
    </row>
    <row r="19" customFormat="false" ht="15" hidden="false" customHeight="true" outlineLevel="0" collapsed="false">
      <c r="A19" s="12" t="n">
        <v>13</v>
      </c>
      <c r="B19" s="29" t="n">
        <f aca="false">IF($A19=0,0,$A19*Car_BaseLabor*SeasonLength*(1+Car_DR)^$A19)</f>
        <v>537.40425976946</v>
      </c>
      <c r="C19" s="29" t="n">
        <f aca="false">MIN(B19,FarmerHours)</f>
        <v>537.40425976946</v>
      </c>
      <c r="D19" s="29" t="n">
        <f aca="false">MAX(B19-FarmerHours,0)</f>
        <v>0</v>
      </c>
      <c r="E19" s="12" t="n">
        <f aca="false">IF(D19=0,0,ROUNDUP(D19/TempWorkerHours,0))</f>
        <v>0</v>
      </c>
      <c r="F19" s="30" t="b">
        <f aca="false">AND(B19&lt;=MaxLaborCapacity,E19&lt;=MaxTempWorkers)</f>
        <v>1</v>
      </c>
      <c r="G19" s="31" t="n">
        <f aca="false">C19*FarmerRate</f>
        <v>18658.6758991957</v>
      </c>
      <c r="H19" s="31" t="n">
        <f aca="false">D19*TempRate</f>
        <v>0</v>
      </c>
      <c r="I19" s="31" t="n">
        <f aca="false">$A19*Car_Fert</f>
        <v>5720</v>
      </c>
      <c r="J19" s="31" t="n">
        <f aca="false">G19+H19</f>
        <v>18658.6758991957</v>
      </c>
      <c r="K19" s="31" t="n">
        <f aca="false">FixedCosts+I19+J19</f>
        <v>44378.6758991957</v>
      </c>
      <c r="L19" s="31" t="n">
        <f aca="false">K19-K18</f>
        <v>2295.36552093315</v>
      </c>
      <c r="M19" s="31" t="n">
        <f aca="false">Car_Rev</f>
        <v>2094</v>
      </c>
      <c r="N19" s="30" t="b">
        <f aca="false">L19&lt;=M19</f>
        <v>0</v>
      </c>
      <c r="O19" s="31" t="n">
        <f aca="false">ABS(M19-L19)</f>
        <v>201.365520933148</v>
      </c>
    </row>
    <row r="20" customFormat="false" ht="15" hidden="false" customHeight="true" outlineLevel="0" collapsed="false">
      <c r="A20" s="12" t="n">
        <v>14</v>
      </c>
      <c r="B20" s="29" t="n">
        <f aca="false">IF($A20=0,0,$A20*Car_BaseLabor*SeasonLength*(1+Car_DR)^$A20)</f>
        <v>593.211625207058</v>
      </c>
      <c r="C20" s="29" t="n">
        <f aca="false">MIN(B20,FarmerHours)</f>
        <v>593.211625207058</v>
      </c>
      <c r="D20" s="29" t="n">
        <f aca="false">MAX(B20-FarmerHours,0)</f>
        <v>0</v>
      </c>
      <c r="E20" s="12" t="n">
        <f aca="false">IF(D20=0,0,ROUNDUP(D20/TempWorkerHours,0))</f>
        <v>0</v>
      </c>
      <c r="F20" s="30" t="b">
        <f aca="false">AND(B20&lt;=MaxLaborCapacity,E20&lt;=MaxTempWorkers)</f>
        <v>1</v>
      </c>
      <c r="G20" s="31" t="n">
        <f aca="false">C20*FarmerRate</f>
        <v>20596.3076271891</v>
      </c>
      <c r="H20" s="31" t="n">
        <f aca="false">D20*TempRate</f>
        <v>0</v>
      </c>
      <c r="I20" s="31" t="n">
        <f aca="false">$A20*Car_Fert</f>
        <v>6160</v>
      </c>
      <c r="J20" s="31" t="n">
        <f aca="false">G20+H20</f>
        <v>20596.3076271891</v>
      </c>
      <c r="K20" s="31" t="n">
        <f aca="false">FixedCosts+I20+J20</f>
        <v>46756.3076271891</v>
      </c>
      <c r="L20" s="31" t="n">
        <f aca="false">K20-K19</f>
        <v>2377.6317279934</v>
      </c>
      <c r="M20" s="31" t="n">
        <f aca="false">Car_Rev</f>
        <v>2094</v>
      </c>
      <c r="N20" s="30" t="b">
        <f aca="false">L20&lt;=M20</f>
        <v>0</v>
      </c>
      <c r="O20" s="31" t="n">
        <f aca="false">ABS(M20-L20)</f>
        <v>283.631727993401</v>
      </c>
    </row>
    <row r="21" customFormat="false" ht="15" hidden="false" customHeight="true" outlineLevel="0" collapsed="false">
      <c r="A21" s="12" t="n">
        <v>15</v>
      </c>
      <c r="B21" s="29" t="n">
        <f aca="false">IF($A21=0,0,$A21*Car_BaseLabor*SeasonLength*(1+Car_DR)^$A21)</f>
        <v>651.47348125418</v>
      </c>
      <c r="C21" s="29" t="n">
        <f aca="false">MIN(B21,FarmerHours)</f>
        <v>651.47348125418</v>
      </c>
      <c r="D21" s="29" t="n">
        <f aca="false">MAX(B21-FarmerHours,0)</f>
        <v>0</v>
      </c>
      <c r="E21" s="12" t="n">
        <f aca="false">IF(D21=0,0,ROUNDUP(D21/TempWorkerHours,0))</f>
        <v>0</v>
      </c>
      <c r="F21" s="30" t="b">
        <f aca="false">AND(B21&lt;=MaxLaborCapacity,E21&lt;=MaxTempWorkers)</f>
        <v>1</v>
      </c>
      <c r="G21" s="31" t="n">
        <f aca="false">C21*FarmerRate</f>
        <v>22619.1592691451</v>
      </c>
      <c r="H21" s="31" t="n">
        <f aca="false">D21*TempRate</f>
        <v>0</v>
      </c>
      <c r="I21" s="31" t="n">
        <f aca="false">$A21*Car_Fert</f>
        <v>6600</v>
      </c>
      <c r="J21" s="31" t="n">
        <f aca="false">G21+H21</f>
        <v>22619.1592691451</v>
      </c>
      <c r="K21" s="31" t="n">
        <f aca="false">FixedCosts+I21+J21</f>
        <v>49219.1592691451</v>
      </c>
      <c r="L21" s="31" t="n">
        <f aca="false">K21-K20</f>
        <v>2462.85164195607</v>
      </c>
      <c r="M21" s="31" t="n">
        <f aca="false">Car_Rev</f>
        <v>2094</v>
      </c>
      <c r="N21" s="30" t="b">
        <f aca="false">L21&lt;=M21</f>
        <v>0</v>
      </c>
      <c r="O21" s="31" t="n">
        <f aca="false">ABS(M21-L21)</f>
        <v>368.851641956069</v>
      </c>
    </row>
    <row r="22" customFormat="false" ht="15" hidden="false" customHeight="true" outlineLevel="0" collapsed="false">
      <c r="A22" s="12" t="n">
        <v>16</v>
      </c>
      <c r="B22" s="29" t="n">
        <f aca="false">IF($A22=0,0,$A22*Car_BaseLabor*SeasonLength*(1+Car_DR)^$A22)</f>
        <v>712.277672837903</v>
      </c>
      <c r="C22" s="29" t="n">
        <f aca="false">MIN(B22,FarmerHours)</f>
        <v>712.277672837903</v>
      </c>
      <c r="D22" s="29" t="n">
        <f aca="false">MAX(B22-FarmerHours,0)</f>
        <v>0</v>
      </c>
      <c r="E22" s="12" t="n">
        <f aca="false">IF(D22=0,0,ROUNDUP(D22/TempWorkerHours,0))</f>
        <v>0</v>
      </c>
      <c r="F22" s="30" t="b">
        <f aca="false">AND(B22&lt;=MaxLaborCapacity,E22&lt;=MaxTempWorkers)</f>
        <v>1</v>
      </c>
      <c r="G22" s="31" t="n">
        <f aca="false">C22*FarmerRate</f>
        <v>24730.280800932</v>
      </c>
      <c r="H22" s="31" t="n">
        <f aca="false">D22*TempRate</f>
        <v>0</v>
      </c>
      <c r="I22" s="31" t="n">
        <f aca="false">$A22*Car_Fert</f>
        <v>7040</v>
      </c>
      <c r="J22" s="31" t="n">
        <f aca="false">G22+H22</f>
        <v>24730.280800932</v>
      </c>
      <c r="K22" s="31" t="n">
        <f aca="false">FixedCosts+I22+J22</f>
        <v>51770.280800932</v>
      </c>
      <c r="L22" s="31" t="n">
        <f aca="false">K22-K21</f>
        <v>2551.12153178687</v>
      </c>
      <c r="M22" s="31" t="n">
        <f aca="false">Car_Rev</f>
        <v>2094</v>
      </c>
      <c r="N22" s="30" t="b">
        <f aca="false">L22&lt;=M22</f>
        <v>0</v>
      </c>
      <c r="O22" s="31" t="n">
        <f aca="false">ABS(M22-L22)</f>
        <v>457.12153178687</v>
      </c>
    </row>
    <row r="23" customFormat="false" ht="15" hidden="false" customHeight="true" outlineLevel="0" collapsed="false">
      <c r="A23" s="12" t="n">
        <v>17</v>
      </c>
      <c r="B23" s="29" t="n">
        <f aca="false">IF($A23=0,0,$A23*Car_BaseLabor*SeasonLength*(1+Car_DR)^$A23)</f>
        <v>775.714903075029</v>
      </c>
      <c r="C23" s="29" t="n">
        <f aca="false">MIN(B23,FarmerHours)</f>
        <v>720</v>
      </c>
      <c r="D23" s="29" t="n">
        <f aca="false">MAX(B23-FarmerHours,0)</f>
        <v>55.7149030750287</v>
      </c>
      <c r="E23" s="12" t="n">
        <f aca="false">IF(D23=0,0,ROUNDUP(D23/TempWorkerHours,0))</f>
        <v>1</v>
      </c>
      <c r="F23" s="30" t="b">
        <f aca="false">AND(B23&lt;=MaxLaborCapacity,E23&lt;=MaxTempWorkers)</f>
        <v>1</v>
      </c>
      <c r="G23" s="31" t="n">
        <f aca="false">C23*FarmerRate</f>
        <v>24998.4</v>
      </c>
      <c r="H23" s="31" t="n">
        <f aca="false">D23*TempRate</f>
        <v>967.210717382498</v>
      </c>
      <c r="I23" s="31" t="n">
        <f aca="false">$A23*Car_Fert</f>
        <v>7480</v>
      </c>
      <c r="J23" s="31" t="n">
        <f aca="false">G23+H23</f>
        <v>25965.6107173825</v>
      </c>
      <c r="K23" s="31" t="n">
        <f aca="false">FixedCosts+I23+J23</f>
        <v>53445.6107173825</v>
      </c>
      <c r="L23" s="31" t="n">
        <f aca="false">K23-K22</f>
        <v>1675.32991645051</v>
      </c>
      <c r="M23" s="31" t="n">
        <f aca="false">Car_Rev</f>
        <v>2094</v>
      </c>
      <c r="N23" s="30" t="b">
        <f aca="false">L23&lt;=M23</f>
        <v>1</v>
      </c>
      <c r="O23" s="31" t="n">
        <f aca="false">ABS(M23-L23)</f>
        <v>418.670083549492</v>
      </c>
    </row>
    <row r="24" customFormat="false" ht="15" hidden="false" customHeight="true" outlineLevel="0" collapsed="false">
      <c r="A24" s="12" t="n">
        <v>18</v>
      </c>
      <c r="B24" s="29" t="n">
        <f aca="false">IF($A24=0,0,$A24*Car_BaseLabor*SeasonLength*(1+Car_DR)^$A24)</f>
        <v>841.878821278487</v>
      </c>
      <c r="C24" s="29" t="n">
        <f aca="false">MIN(B24,FarmerHours)</f>
        <v>720</v>
      </c>
      <c r="D24" s="29" t="n">
        <f aca="false">MAX(B24-FarmerHours,0)</f>
        <v>121.878821278487</v>
      </c>
      <c r="E24" s="12" t="n">
        <f aca="false">IF(D24=0,0,ROUNDUP(D24/TempWorkerHours,0))</f>
        <v>1</v>
      </c>
      <c r="F24" s="30" t="b">
        <f aca="false">AND(B24&lt;=MaxLaborCapacity,E24&lt;=MaxTempWorkers)</f>
        <v>1</v>
      </c>
      <c r="G24" s="31" t="n">
        <f aca="false">C24*FarmerRate</f>
        <v>24998.4</v>
      </c>
      <c r="H24" s="31" t="n">
        <f aca="false">D24*TempRate</f>
        <v>2115.81633739453</v>
      </c>
      <c r="I24" s="31" t="n">
        <f aca="false">$A24*Car_Fert</f>
        <v>7920</v>
      </c>
      <c r="J24" s="31" t="n">
        <f aca="false">G24+H24</f>
        <v>27114.2163373945</v>
      </c>
      <c r="K24" s="31" t="n">
        <f aca="false">FixedCosts+I24+J24</f>
        <v>55034.2163373945</v>
      </c>
      <c r="L24" s="31" t="n">
        <f aca="false">K24-K23</f>
        <v>1588.60562001203</v>
      </c>
      <c r="M24" s="31" t="n">
        <f aca="false">Car_Rev</f>
        <v>2094</v>
      </c>
      <c r="N24" s="30" t="b">
        <f aca="false">L24&lt;=M24</f>
        <v>1</v>
      </c>
      <c r="O24" s="31" t="n">
        <f aca="false">ABS(M24-L24)</f>
        <v>505.394379987971</v>
      </c>
    </row>
    <row r="25" customFormat="false" ht="15" hidden="false" customHeight="true" outlineLevel="0" collapsed="false">
      <c r="A25" s="12" t="n">
        <v>19</v>
      </c>
      <c r="B25" s="29" t="n">
        <f aca="false">IF($A25=0,0,$A25*Car_BaseLabor*SeasonLength*(1+Car_DR)^$A25)</f>
        <v>910.866113577696</v>
      </c>
      <c r="C25" s="29" t="n">
        <f aca="false">MIN(B25,FarmerHours)</f>
        <v>720</v>
      </c>
      <c r="D25" s="29" t="n">
        <f aca="false">MAX(B25-FarmerHours,0)</f>
        <v>190.866113577696</v>
      </c>
      <c r="E25" s="12" t="n">
        <f aca="false">IF(D25=0,0,ROUNDUP(D25/TempWorkerHours,0))</f>
        <v>1</v>
      </c>
      <c r="F25" s="30" t="b">
        <f aca="false">AND(B25&lt;=MaxLaborCapacity,E25&lt;=MaxTempWorkers)</f>
        <v>1</v>
      </c>
      <c r="G25" s="31" t="n">
        <f aca="false">C25*FarmerRate</f>
        <v>24998.4</v>
      </c>
      <c r="H25" s="31" t="n">
        <f aca="false">D25*TempRate</f>
        <v>3313.43573170881</v>
      </c>
      <c r="I25" s="31" t="n">
        <f aca="false">$A25*Car_Fert</f>
        <v>8360</v>
      </c>
      <c r="J25" s="31" t="n">
        <f aca="false">G25+H25</f>
        <v>28311.8357317088</v>
      </c>
      <c r="K25" s="31" t="n">
        <f aca="false">FixedCosts+I25+J25</f>
        <v>56671.8357317088</v>
      </c>
      <c r="L25" s="31" t="n">
        <f aca="false">K25-K24</f>
        <v>1637.61939431428</v>
      </c>
      <c r="M25" s="31" t="n">
        <f aca="false">Car_Rev</f>
        <v>2094</v>
      </c>
      <c r="N25" s="30" t="b">
        <f aca="false">L25&lt;=M25</f>
        <v>1</v>
      </c>
      <c r="O25" s="31" t="n">
        <f aca="false">ABS(M25-L25)</f>
        <v>456.380605685721</v>
      </c>
    </row>
    <row r="26" customFormat="false" ht="15" hidden="false" customHeight="true" outlineLevel="0" collapsed="false">
      <c r="A26" s="12" t="n">
        <v>20</v>
      </c>
      <c r="B26" s="29" t="n">
        <f aca="false">IF($A26=0,0,$A26*Car_BaseLabor*SeasonLength*(1+Car_DR)^$A26)</f>
        <v>982.776596228567</v>
      </c>
      <c r="C26" s="29" t="n">
        <f aca="false">MIN(B26,FarmerHours)</f>
        <v>720</v>
      </c>
      <c r="D26" s="29" t="n">
        <f aca="false">MAX(B26-FarmerHours,0)</f>
        <v>262.776596228567</v>
      </c>
      <c r="E26" s="12" t="n">
        <f aca="false">IF(D26=0,0,ROUNDUP(D26/TempWorkerHours,0))</f>
        <v>1</v>
      </c>
      <c r="F26" s="30" t="b">
        <f aca="false">AND(B26&lt;=MaxLaborCapacity,E26&lt;=MaxTempWorkers)</f>
        <v>1</v>
      </c>
      <c r="G26" s="31" t="n">
        <f aca="false">C26*FarmerRate</f>
        <v>24998.4</v>
      </c>
      <c r="H26" s="31" t="n">
        <f aca="false">D26*TempRate</f>
        <v>4561.80171052792</v>
      </c>
      <c r="I26" s="31" t="n">
        <f aca="false">$A26*Car_Fert</f>
        <v>8800</v>
      </c>
      <c r="J26" s="31" t="n">
        <f aca="false">G26+H26</f>
        <v>29560.2017105279</v>
      </c>
      <c r="K26" s="31" t="n">
        <f aca="false">FixedCosts+I26+J26</f>
        <v>58360.2017105279</v>
      </c>
      <c r="L26" s="31" t="n">
        <f aca="false">K26-K25</f>
        <v>1688.36597881911</v>
      </c>
      <c r="M26" s="31" t="n">
        <f aca="false">Car_Rev</f>
        <v>2094</v>
      </c>
      <c r="N26" s="30" t="b">
        <f aca="false">L26&lt;=M26</f>
        <v>1</v>
      </c>
      <c r="O26" s="31" t="n">
        <f aca="false">ABS(M26-L26)</f>
        <v>405.634021180886</v>
      </c>
    </row>
  </sheetData>
  <mergeCells count="2">
    <mergeCell ref="A1:O1"/>
    <mergeCell ref="A2:O2"/>
  </mergeCells>
  <conditionalFormatting sqref="O7:O26">
    <cfRule type="colorScale" priority="2">
      <colorScale>
        <cfvo type="min" val="0"/>
        <cfvo type="percentile" val="50"/>
        <cfvo type="max" val="0"/>
        <color rgb="FF63BE7B"/>
        <color rgb="FFFFEB84"/>
        <color rgb="FFF8696B"/>
      </colorScale>
    </cfRule>
  </conditionalFormatting>
  <conditionalFormatting sqref="F6:F26">
    <cfRule type="cellIs" priority="3" operator="equal" aboveAverage="0" equalAverage="0" bottom="0" percent="0" rank="0" text="" dxfId="0">
      <formula>1</formula>
    </cfRule>
    <cfRule type="cellIs" priority="4" operator="equal" aboveAverage="0" equalAverage="0" bottom="0" percent="0" rank="0" text="" dxfId="1">
      <formula>0</formula>
    </cfRule>
  </conditionalFormatting>
  <conditionalFormatting sqref="N6:N26">
    <cfRule type="cellIs" priority="5" operator="equal" aboveAverage="0" equalAverage="0" bottom="0" percent="0" rank="0" text="" dxfId="0">
      <formula>1</formula>
    </cfRule>
    <cfRule type="cellIs" priority="6" operator="equal"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8"/>
    <col collapsed="false" customWidth="true" hidden="false" outlineLevel="0" max="2" min="2" style="1" width="13"/>
    <col collapsed="false" customWidth="true" hidden="false" outlineLevel="0" max="3" min="3" style="1" width="15"/>
    <col collapsed="false" customWidth="true" hidden="false" outlineLevel="0" max="4" min="4" style="1" width="13"/>
    <col collapsed="false" customWidth="true" hidden="false" outlineLevel="0" max="5" min="5" style="1" width="14"/>
    <col collapsed="false" customWidth="true" hidden="false" outlineLevel="0" max="6" min="6" style="1" width="11"/>
    <col collapsed="false" customWidth="true" hidden="false" outlineLevel="0" max="7" min="7" style="1" width="14"/>
    <col collapsed="false" customWidth="true" hidden="false" outlineLevel="0" max="8" min="8" style="1" width="13"/>
    <col collapsed="false" customWidth="true" hidden="false" outlineLevel="0" max="9" min="9" style="1" width="12"/>
    <col collapsed="false" customWidth="true" hidden="false" outlineLevel="0" max="10" min="10" style="1" width="14"/>
    <col collapsed="false" customWidth="true" hidden="false" outlineLevel="0" max="11" min="11" style="1" width="16"/>
    <col collapsed="false" customWidth="true" hidden="false" outlineLevel="0" max="13" min="12" style="1" width="13"/>
    <col collapsed="false" customWidth="true" hidden="false" outlineLevel="0" max="14" min="14" style="1" width="11"/>
    <col collapsed="false" customWidth="true" hidden="false" outlineLevel="0" max="15" min="15" style="1" width="14"/>
  </cols>
  <sheetData>
    <row r="1" customFormat="false" ht="21.75" hidden="false" customHeight="true" outlineLevel="0" collapsed="false">
      <c r="A1" s="2" t="s">
        <v>106</v>
      </c>
      <c r="B1" s="2"/>
      <c r="C1" s="2"/>
      <c r="D1" s="2"/>
      <c r="E1" s="2"/>
      <c r="F1" s="2"/>
      <c r="G1" s="2"/>
      <c r="H1" s="2"/>
      <c r="I1" s="2"/>
      <c r="J1" s="2"/>
      <c r="K1" s="2"/>
      <c r="L1" s="2"/>
      <c r="M1" s="2"/>
      <c r="N1" s="2"/>
      <c r="O1" s="2"/>
    </row>
    <row r="2" customFormat="false" ht="42" hidden="false" customHeight="true" outlineLevel="0" collapsed="false">
      <c r="A2" s="11" t="s">
        <v>107</v>
      </c>
      <c r="B2" s="11"/>
      <c r="C2" s="11"/>
      <c r="D2" s="11"/>
      <c r="E2" s="11"/>
      <c r="F2" s="11"/>
      <c r="G2" s="11"/>
      <c r="H2" s="11"/>
      <c r="I2" s="11"/>
      <c r="J2" s="11"/>
      <c r="K2" s="11"/>
      <c r="L2" s="11"/>
      <c r="M2" s="11"/>
      <c r="N2" s="11"/>
      <c r="O2" s="11"/>
    </row>
    <row r="5" customFormat="false" ht="23.25" hidden="false" customHeight="true" outlineLevel="0" collapsed="false">
      <c r="A5" s="3" t="s">
        <v>92</v>
      </c>
      <c r="B5" s="3" t="s">
        <v>93</v>
      </c>
      <c r="C5" s="3" t="s">
        <v>69</v>
      </c>
      <c r="D5" s="3" t="s">
        <v>94</v>
      </c>
      <c r="E5" s="3" t="s">
        <v>95</v>
      </c>
      <c r="F5" s="3" t="s">
        <v>96</v>
      </c>
      <c r="G5" s="3" t="s">
        <v>74</v>
      </c>
      <c r="H5" s="3" t="s">
        <v>97</v>
      </c>
      <c r="I5" s="3" t="s">
        <v>98</v>
      </c>
      <c r="J5" s="3" t="s">
        <v>76</v>
      </c>
      <c r="K5" s="3" t="s">
        <v>99</v>
      </c>
      <c r="L5" s="3" t="s">
        <v>100</v>
      </c>
      <c r="M5" s="3" t="s">
        <v>101</v>
      </c>
      <c r="N5" s="3" t="s">
        <v>102</v>
      </c>
      <c r="O5" s="3" t="s">
        <v>103</v>
      </c>
    </row>
    <row r="6" customFormat="false" ht="15" hidden="false" customHeight="true" outlineLevel="0" collapsed="false">
      <c r="A6" s="12" t="n">
        <v>0</v>
      </c>
      <c r="B6" s="29" t="n">
        <f aca="false">IF($A6=0,0,$A6*Mes_BaseLabor*SeasonLength*(1+Mes_DR)^$A6)</f>
        <v>0</v>
      </c>
      <c r="C6" s="29" t="n">
        <f aca="false">MIN(B6,FarmerHours)</f>
        <v>0</v>
      </c>
      <c r="D6" s="29" t="n">
        <f aca="false">MAX(B6-FarmerHours,0)</f>
        <v>0</v>
      </c>
      <c r="E6" s="12" t="n">
        <f aca="false">IF(D6=0,0,ROUNDUP(D6/TempWorkerHours,0))</f>
        <v>0</v>
      </c>
      <c r="F6" s="30" t="b">
        <f aca="false">AND(B6&lt;=MaxLaborCapacity,E6&lt;=MaxTempWorkers)</f>
        <v>1</v>
      </c>
      <c r="G6" s="31" t="n">
        <f aca="false">C6*FarmerRate</f>
        <v>0</v>
      </c>
      <c r="H6" s="31" t="n">
        <f aca="false">D6*TempRate</f>
        <v>0</v>
      </c>
      <c r="I6" s="31" t="n">
        <f aca="false">$A6*Mes_Fert</f>
        <v>0</v>
      </c>
      <c r="J6" s="31" t="n">
        <f aca="false">G6+H6</f>
        <v>0</v>
      </c>
      <c r="K6" s="31" t="n">
        <f aca="false">FixedCosts+I6+J6</f>
        <v>20000</v>
      </c>
      <c r="L6" s="32"/>
      <c r="M6" s="31" t="n">
        <f aca="false">Mes_Rev</f>
        <v>2700</v>
      </c>
      <c r="N6" s="32"/>
      <c r="O6" s="32"/>
    </row>
    <row r="7" customFormat="false" ht="15" hidden="false" customHeight="true" outlineLevel="0" collapsed="false">
      <c r="A7" s="12" t="n">
        <v>1</v>
      </c>
      <c r="B7" s="29" t="n">
        <f aca="false">IF($A7=0,0,$A7*Mes_BaseLabor*SeasonLength*(1+Mes_DR)^$A7)</f>
        <v>45.5625</v>
      </c>
      <c r="C7" s="29" t="n">
        <f aca="false">MIN(B7,FarmerHours)</f>
        <v>45.5625</v>
      </c>
      <c r="D7" s="29" t="n">
        <f aca="false">MAX(B7-FarmerHours,0)</f>
        <v>0</v>
      </c>
      <c r="E7" s="12" t="n">
        <f aca="false">IF(D7=0,0,ROUNDUP(D7/TempWorkerHours,0))</f>
        <v>0</v>
      </c>
      <c r="F7" s="30" t="b">
        <f aca="false">AND(B7&lt;=MaxLaborCapacity,E7&lt;=MaxTempWorkers)</f>
        <v>1</v>
      </c>
      <c r="G7" s="31" t="n">
        <f aca="false">C7*FarmerRate</f>
        <v>1581.93</v>
      </c>
      <c r="H7" s="31" t="n">
        <f aca="false">D7*TempRate</f>
        <v>0</v>
      </c>
      <c r="I7" s="31" t="n">
        <f aca="false">$A7*Mes_Fert</f>
        <v>880</v>
      </c>
      <c r="J7" s="31" t="n">
        <f aca="false">G7+H7</f>
        <v>1581.93</v>
      </c>
      <c r="K7" s="31" t="n">
        <f aca="false">FixedCosts+I7+J7</f>
        <v>22461.93</v>
      </c>
      <c r="L7" s="31" t="n">
        <f aca="false">K7-K6</f>
        <v>2461.93</v>
      </c>
      <c r="M7" s="31" t="n">
        <f aca="false">Mes_Rev</f>
        <v>2700</v>
      </c>
      <c r="N7" s="30" t="b">
        <f aca="false">L7&lt;=M7</f>
        <v>1</v>
      </c>
      <c r="O7" s="31" t="n">
        <f aca="false">ABS(M7-L7)</f>
        <v>238.07</v>
      </c>
    </row>
    <row r="8" customFormat="false" ht="15" hidden="false" customHeight="true" outlineLevel="0" collapsed="false">
      <c r="A8" s="12" t="n">
        <v>2</v>
      </c>
      <c r="B8" s="29" t="n">
        <f aca="false">IF($A8=0,0,$A8*Mes_BaseLabor*SeasonLength*(1+Mes_DR)^$A8)</f>
        <v>92.2640625</v>
      </c>
      <c r="C8" s="29" t="n">
        <f aca="false">MIN(B8,FarmerHours)</f>
        <v>92.2640625</v>
      </c>
      <c r="D8" s="29" t="n">
        <f aca="false">MAX(B8-FarmerHours,0)</f>
        <v>0</v>
      </c>
      <c r="E8" s="12" t="n">
        <f aca="false">IF(D8=0,0,ROUNDUP(D8/TempWorkerHours,0))</f>
        <v>0</v>
      </c>
      <c r="F8" s="30" t="b">
        <f aca="false">AND(B8&lt;=MaxLaborCapacity,E8&lt;=MaxTempWorkers)</f>
        <v>1</v>
      </c>
      <c r="G8" s="31" t="n">
        <f aca="false">C8*FarmerRate</f>
        <v>3203.40825</v>
      </c>
      <c r="H8" s="31" t="n">
        <f aca="false">D8*TempRate</f>
        <v>0</v>
      </c>
      <c r="I8" s="31" t="n">
        <f aca="false">$A8*Mes_Fert</f>
        <v>1760</v>
      </c>
      <c r="J8" s="31" t="n">
        <f aca="false">G8+H8</f>
        <v>3203.40825</v>
      </c>
      <c r="K8" s="31" t="n">
        <f aca="false">FixedCosts+I8+J8</f>
        <v>24963.40825</v>
      </c>
      <c r="L8" s="31" t="n">
        <f aca="false">K8-K7</f>
        <v>2501.47825</v>
      </c>
      <c r="M8" s="31" t="n">
        <f aca="false">Mes_Rev</f>
        <v>2700</v>
      </c>
      <c r="N8" s="30" t="b">
        <f aca="false">L8&lt;=M8</f>
        <v>1</v>
      </c>
      <c r="O8" s="31" t="n">
        <f aca="false">ABS(M8-L8)</f>
        <v>198.52175</v>
      </c>
    </row>
    <row r="9" customFormat="false" ht="15" hidden="false" customHeight="true" outlineLevel="0" collapsed="false">
      <c r="A9" s="12" t="n">
        <v>3</v>
      </c>
      <c r="B9" s="29" t="n">
        <f aca="false">IF($A9=0,0,$A9*Mes_BaseLabor*SeasonLength*(1+Mes_DR)^$A9)</f>
        <v>140.126044921875</v>
      </c>
      <c r="C9" s="29" t="n">
        <f aca="false">MIN(B9,FarmerHours)</f>
        <v>140.126044921875</v>
      </c>
      <c r="D9" s="29" t="n">
        <f aca="false">MAX(B9-FarmerHours,0)</f>
        <v>0</v>
      </c>
      <c r="E9" s="12" t="n">
        <f aca="false">IF(D9=0,0,ROUNDUP(D9/TempWorkerHours,0))</f>
        <v>0</v>
      </c>
      <c r="F9" s="30" t="b">
        <f aca="false">AND(B9&lt;=MaxLaborCapacity,E9&lt;=MaxTempWorkers)</f>
        <v>1</v>
      </c>
      <c r="G9" s="31" t="n">
        <f aca="false">C9*FarmerRate</f>
        <v>4865.1762796875</v>
      </c>
      <c r="H9" s="31" t="n">
        <f aca="false">D9*TempRate</f>
        <v>0</v>
      </c>
      <c r="I9" s="31" t="n">
        <f aca="false">$A9*Mes_Fert</f>
        <v>2640</v>
      </c>
      <c r="J9" s="31" t="n">
        <f aca="false">G9+H9</f>
        <v>4865.1762796875</v>
      </c>
      <c r="K9" s="31" t="n">
        <f aca="false">FixedCosts+I9+J9</f>
        <v>27505.1762796875</v>
      </c>
      <c r="L9" s="31" t="n">
        <f aca="false">K9-K8</f>
        <v>2541.7680296875</v>
      </c>
      <c r="M9" s="31" t="n">
        <f aca="false">Mes_Rev</f>
        <v>2700</v>
      </c>
      <c r="N9" s="30" t="b">
        <f aca="false">L9&lt;=M9</f>
        <v>1</v>
      </c>
      <c r="O9" s="31" t="n">
        <f aca="false">ABS(M9-L9)</f>
        <v>158.231970312503</v>
      </c>
    </row>
    <row r="10" customFormat="false" ht="15" hidden="false" customHeight="true" outlineLevel="0" collapsed="false">
      <c r="A10" s="12" t="n">
        <v>4</v>
      </c>
      <c r="B10" s="29" t="n">
        <f aca="false">IF($A10=0,0,$A10*Mes_BaseLabor*SeasonLength*(1+Mes_DR)^$A10)</f>
        <v>189.170160644531</v>
      </c>
      <c r="C10" s="29" t="n">
        <f aca="false">MIN(B10,FarmerHours)</f>
        <v>189.170160644531</v>
      </c>
      <c r="D10" s="29" t="n">
        <f aca="false">MAX(B10-FarmerHours,0)</f>
        <v>0</v>
      </c>
      <c r="E10" s="12" t="n">
        <f aca="false">IF(D10=0,0,ROUNDUP(D10/TempWorkerHours,0))</f>
        <v>0</v>
      </c>
      <c r="F10" s="30" t="b">
        <f aca="false">AND(B10&lt;=MaxLaborCapacity,E10&lt;=MaxTempWorkers)</f>
        <v>1</v>
      </c>
      <c r="G10" s="31" t="n">
        <f aca="false">C10*FarmerRate</f>
        <v>6567.98797757812</v>
      </c>
      <c r="H10" s="31" t="n">
        <f aca="false">D10*TempRate</f>
        <v>0</v>
      </c>
      <c r="I10" s="31" t="n">
        <f aca="false">$A10*Mes_Fert</f>
        <v>3520</v>
      </c>
      <c r="J10" s="31" t="n">
        <f aca="false">G10+H10</f>
        <v>6567.98797757812</v>
      </c>
      <c r="K10" s="31" t="n">
        <f aca="false">FixedCosts+I10+J10</f>
        <v>30087.9879775781</v>
      </c>
      <c r="L10" s="31" t="n">
        <f aca="false">K10-K9</f>
        <v>2582.81169789063</v>
      </c>
      <c r="M10" s="31" t="n">
        <f aca="false">Mes_Rev</f>
        <v>2700</v>
      </c>
      <c r="N10" s="30" t="b">
        <f aca="false">L10&lt;=M10</f>
        <v>1</v>
      </c>
      <c r="O10" s="31" t="n">
        <f aca="false">ABS(M10-L10)</f>
        <v>117.188302109374</v>
      </c>
    </row>
    <row r="11" customFormat="false" ht="15" hidden="false" customHeight="true" outlineLevel="0" collapsed="false">
      <c r="A11" s="12" t="n">
        <v>5</v>
      </c>
      <c r="B11" s="29" t="n">
        <f aca="false">IF($A11=0,0,$A11*Mes_BaseLabor*SeasonLength*(1+Mes_DR)^$A11)</f>
        <v>239.418484565735</v>
      </c>
      <c r="C11" s="29" t="n">
        <f aca="false">MIN(B11,FarmerHours)</f>
        <v>239.418484565735</v>
      </c>
      <c r="D11" s="29" t="n">
        <f aca="false">MAX(B11-FarmerHours,0)</f>
        <v>0</v>
      </c>
      <c r="E11" s="12" t="n">
        <f aca="false">IF(D11=0,0,ROUNDUP(D11/TempWorkerHours,0))</f>
        <v>0</v>
      </c>
      <c r="F11" s="30" t="b">
        <f aca="false">AND(B11&lt;=MaxLaborCapacity,E11&lt;=MaxTempWorkers)</f>
        <v>1</v>
      </c>
      <c r="G11" s="31" t="n">
        <f aca="false">C11*FarmerRate</f>
        <v>8312.60978412231</v>
      </c>
      <c r="H11" s="31" t="n">
        <f aca="false">D11*TempRate</f>
        <v>0</v>
      </c>
      <c r="I11" s="31" t="n">
        <f aca="false">$A11*Mes_Fert</f>
        <v>4400</v>
      </c>
      <c r="J11" s="31" t="n">
        <f aca="false">G11+H11</f>
        <v>8312.60978412231</v>
      </c>
      <c r="K11" s="31" t="n">
        <f aca="false">FixedCosts+I11+J11</f>
        <v>32712.6097841223</v>
      </c>
      <c r="L11" s="31" t="n">
        <f aca="false">K11-K10</f>
        <v>2624.62180654419</v>
      </c>
      <c r="M11" s="31" t="n">
        <f aca="false">Mes_Rev</f>
        <v>2700</v>
      </c>
      <c r="N11" s="30" t="b">
        <f aca="false">L11&lt;=M11</f>
        <v>1</v>
      </c>
      <c r="O11" s="31" t="n">
        <f aca="false">ABS(M11-L11)</f>
        <v>75.3781934558101</v>
      </c>
    </row>
    <row r="12" customFormat="false" ht="15" hidden="false" customHeight="true" outlineLevel="0" collapsed="false">
      <c r="A12" s="12" t="n">
        <v>6</v>
      </c>
      <c r="B12" s="29" t="n">
        <f aca="false">IF($A12=0,0,$A12*Mes_BaseLabor*SeasonLength*(1+Mes_DR)^$A12)</f>
        <v>290.893458747368</v>
      </c>
      <c r="C12" s="29" t="n">
        <f aca="false">MIN(B12,FarmerHours)</f>
        <v>290.893458747368</v>
      </c>
      <c r="D12" s="29" t="n">
        <f aca="false">MAX(B12-FarmerHours,0)</f>
        <v>0</v>
      </c>
      <c r="E12" s="12" t="n">
        <f aca="false">IF(D12=0,0,ROUNDUP(D12/TempWorkerHours,0))</f>
        <v>0</v>
      </c>
      <c r="F12" s="30" t="b">
        <f aca="false">AND(B12&lt;=MaxLaborCapacity,E12&lt;=MaxTempWorkers)</f>
        <v>1</v>
      </c>
      <c r="G12" s="31" t="n">
        <f aca="false">C12*FarmerRate</f>
        <v>10099.8208877086</v>
      </c>
      <c r="H12" s="31" t="n">
        <f aca="false">D12*TempRate</f>
        <v>0</v>
      </c>
      <c r="I12" s="31" t="n">
        <f aca="false">$A12*Mes_Fert</f>
        <v>5280</v>
      </c>
      <c r="J12" s="31" t="n">
        <f aca="false">G12+H12</f>
        <v>10099.8208877086</v>
      </c>
      <c r="K12" s="31" t="n">
        <f aca="false">FixedCosts+I12+J12</f>
        <v>35379.8208877086</v>
      </c>
      <c r="L12" s="31" t="n">
        <f aca="false">K12-K11</f>
        <v>2667.21110358629</v>
      </c>
      <c r="M12" s="31" t="n">
        <f aca="false">Mes_Rev</f>
        <v>2700</v>
      </c>
      <c r="N12" s="30" t="b">
        <f aca="false">L12&lt;=M12</f>
        <v>1</v>
      </c>
      <c r="O12" s="31" t="n">
        <f aca="false">ABS(M12-L12)</f>
        <v>32.7888964137055</v>
      </c>
    </row>
    <row r="13" customFormat="false" ht="15" hidden="false" customHeight="true" outlineLevel="0" collapsed="false">
      <c r="A13" s="12" t="n">
        <v>7</v>
      </c>
      <c r="B13" s="29" t="n">
        <f aca="false">IF($A13=0,0,$A13*Mes_BaseLabor*SeasonLength*(1+Mes_DR)^$A13)</f>
        <v>343.617898145328</v>
      </c>
      <c r="C13" s="29" t="n">
        <f aca="false">MIN(B13,FarmerHours)</f>
        <v>343.617898145328</v>
      </c>
      <c r="D13" s="29" t="n">
        <f aca="false">MAX(B13-FarmerHours,0)</f>
        <v>0</v>
      </c>
      <c r="E13" s="12" t="n">
        <f aca="false">IF(D13=0,0,ROUNDUP(D13/TempWorkerHours,0))</f>
        <v>0</v>
      </c>
      <c r="F13" s="30" t="b">
        <f aca="false">AND(B13&lt;=MaxLaborCapacity,E13&lt;=MaxTempWorkers)</f>
        <v>1</v>
      </c>
      <c r="G13" s="31" t="n">
        <f aca="false">C13*FarmerRate</f>
        <v>11930.4134236058</v>
      </c>
      <c r="H13" s="31" t="n">
        <f aca="false">D13*TempRate</f>
        <v>0</v>
      </c>
      <c r="I13" s="31" t="n">
        <f aca="false">$A13*Mes_Fert</f>
        <v>6160</v>
      </c>
      <c r="J13" s="31" t="n">
        <f aca="false">G13+H13</f>
        <v>11930.4134236058</v>
      </c>
      <c r="K13" s="31" t="n">
        <f aca="false">FixedCosts+I13+J13</f>
        <v>38090.4134236058</v>
      </c>
      <c r="L13" s="31" t="n">
        <f aca="false">K13-K12</f>
        <v>2710.59253589719</v>
      </c>
      <c r="M13" s="31" t="n">
        <f aca="false">Mes_Rev</f>
        <v>2700</v>
      </c>
      <c r="N13" s="30" t="b">
        <f aca="false">L13&lt;=M13</f>
        <v>0</v>
      </c>
      <c r="O13" s="31" t="n">
        <f aca="false">ABS(M13-L13)</f>
        <v>10.5925358971872</v>
      </c>
    </row>
    <row r="14" customFormat="false" ht="15" hidden="false" customHeight="true" outlineLevel="0" collapsed="false">
      <c r="A14" s="12" t="n">
        <v>8</v>
      </c>
      <c r="B14" s="29" t="n">
        <f aca="false">IF($A14=0,0,$A14*Mes_BaseLabor*SeasonLength*(1+Mes_DR)^$A14)</f>
        <v>397.614996425308</v>
      </c>
      <c r="C14" s="29" t="n">
        <f aca="false">MIN(B14,FarmerHours)</f>
        <v>397.614996425308</v>
      </c>
      <c r="D14" s="29" t="n">
        <f aca="false">MAX(B14-FarmerHours,0)</f>
        <v>0</v>
      </c>
      <c r="E14" s="12" t="n">
        <f aca="false">IF(D14=0,0,ROUNDUP(D14/TempWorkerHours,0))</f>
        <v>0</v>
      </c>
      <c r="F14" s="30" t="b">
        <f aca="false">AND(B14&lt;=MaxLaborCapacity,E14&lt;=MaxTempWorkers)</f>
        <v>1</v>
      </c>
      <c r="G14" s="31" t="n">
        <f aca="false">C14*FarmerRate</f>
        <v>13805.1926758867</v>
      </c>
      <c r="H14" s="31" t="n">
        <f aca="false">D14*TempRate</f>
        <v>0</v>
      </c>
      <c r="I14" s="31" t="n">
        <f aca="false">$A14*Mes_Fert</f>
        <v>7040</v>
      </c>
      <c r="J14" s="31" t="n">
        <f aca="false">G14+H14</f>
        <v>13805.1926758867</v>
      </c>
      <c r="K14" s="31" t="n">
        <f aca="false">FixedCosts+I14+J14</f>
        <v>40845.1926758867</v>
      </c>
      <c r="L14" s="31" t="n">
        <f aca="false">K14-K13</f>
        <v>2754.77925228091</v>
      </c>
      <c r="M14" s="31" t="n">
        <f aca="false">Mes_Rev</f>
        <v>2700</v>
      </c>
      <c r="N14" s="30" t="b">
        <f aca="false">L14&lt;=M14</f>
        <v>0</v>
      </c>
      <c r="O14" s="31" t="n">
        <f aca="false">ABS(M14-L14)</f>
        <v>54.7792522809104</v>
      </c>
    </row>
    <row r="15" customFormat="false" ht="15" hidden="false" customHeight="true" outlineLevel="0" collapsed="false">
      <c r="A15" s="12" t="n">
        <v>9</v>
      </c>
      <c r="B15" s="29" t="n">
        <f aca="false">IF($A15=0,0,$A15*Mes_BaseLabor*SeasonLength*(1+Mes_DR)^$A15)</f>
        <v>452.908331865703</v>
      </c>
      <c r="C15" s="29" t="n">
        <f aca="false">MIN(B15,FarmerHours)</f>
        <v>452.908331865703</v>
      </c>
      <c r="D15" s="29" t="n">
        <f aca="false">MAX(B15-FarmerHours,0)</f>
        <v>0</v>
      </c>
      <c r="E15" s="12" t="n">
        <f aca="false">IF(D15=0,0,ROUNDUP(D15/TempWorkerHours,0))</f>
        <v>0</v>
      </c>
      <c r="F15" s="30" t="b">
        <f aca="false">AND(B15&lt;=MaxLaborCapacity,E15&lt;=MaxTempWorkers)</f>
        <v>1</v>
      </c>
      <c r="G15" s="31" t="n">
        <f aca="false">C15*FarmerRate</f>
        <v>15724.9772823772</v>
      </c>
      <c r="H15" s="31" t="n">
        <f aca="false">D15*TempRate</f>
        <v>0</v>
      </c>
      <c r="I15" s="31" t="n">
        <f aca="false">$A15*Mes_Fert</f>
        <v>7920</v>
      </c>
      <c r="J15" s="31" t="n">
        <f aca="false">G15+H15</f>
        <v>15724.9772823772</v>
      </c>
      <c r="K15" s="31" t="n">
        <f aca="false">FixedCosts+I15+J15</f>
        <v>43644.9772823772</v>
      </c>
      <c r="L15" s="31" t="n">
        <f aca="false">K15-K14</f>
        <v>2799.7846064905</v>
      </c>
      <c r="M15" s="31" t="n">
        <f aca="false">Mes_Rev</f>
        <v>2700</v>
      </c>
      <c r="N15" s="30" t="b">
        <f aca="false">L15&lt;=M15</f>
        <v>0</v>
      </c>
      <c r="O15" s="31" t="n">
        <f aca="false">ABS(M15-L15)</f>
        <v>99.7846064904952</v>
      </c>
    </row>
    <row r="16" customFormat="false" ht="15" hidden="false" customHeight="true" outlineLevel="0" collapsed="false">
      <c r="A16" s="12" t="n">
        <v>10</v>
      </c>
      <c r="B16" s="29" t="n">
        <f aca="false">IF($A16=0,0,$A16*Mes_BaseLabor*SeasonLength*(1+Mes_DR)^$A16)</f>
        <v>509.521873348916</v>
      </c>
      <c r="C16" s="29" t="n">
        <f aca="false">MIN(B16,FarmerHours)</f>
        <v>509.521873348916</v>
      </c>
      <c r="D16" s="29" t="n">
        <f aca="false">MAX(B16-FarmerHours,0)</f>
        <v>0</v>
      </c>
      <c r="E16" s="12" t="n">
        <f aca="false">IF(D16=0,0,ROUNDUP(D16/TempWorkerHours,0))</f>
        <v>0</v>
      </c>
      <c r="F16" s="30" t="b">
        <f aca="false">AND(B16&lt;=MaxLaborCapacity,E16&lt;=MaxTempWorkers)</f>
        <v>1</v>
      </c>
      <c r="G16" s="31" t="n">
        <f aca="false">C16*FarmerRate</f>
        <v>17690.5994426743</v>
      </c>
      <c r="H16" s="31" t="n">
        <f aca="false">D16*TempRate</f>
        <v>0</v>
      </c>
      <c r="I16" s="31" t="n">
        <f aca="false">$A16*Mes_Fert</f>
        <v>8800</v>
      </c>
      <c r="J16" s="31" t="n">
        <f aca="false">G16+H16</f>
        <v>17690.5994426743</v>
      </c>
      <c r="K16" s="31" t="n">
        <f aca="false">FixedCosts+I16+J16</f>
        <v>46490.5994426743</v>
      </c>
      <c r="L16" s="31" t="n">
        <f aca="false">K16-K15</f>
        <v>2845.62216029714</v>
      </c>
      <c r="M16" s="31" t="n">
        <f aca="false">Mes_Rev</f>
        <v>2700</v>
      </c>
      <c r="N16" s="30" t="b">
        <f aca="false">L16&lt;=M16</f>
        <v>0</v>
      </c>
      <c r="O16" s="31" t="n">
        <f aca="false">ABS(M16-L16)</f>
        <v>145.622160297142</v>
      </c>
    </row>
    <row r="17" customFormat="false" ht="15" hidden="false" customHeight="true" outlineLevel="0" collapsed="false">
      <c r="A17" s="12" t="n">
        <v>11</v>
      </c>
      <c r="B17" s="29" t="n">
        <f aca="false">IF($A17=0,0,$A17*Mes_BaseLabor*SeasonLength*(1+Mes_DR)^$A17)</f>
        <v>567.479986442355</v>
      </c>
      <c r="C17" s="29" t="n">
        <f aca="false">MIN(B17,FarmerHours)</f>
        <v>567.479986442355</v>
      </c>
      <c r="D17" s="29" t="n">
        <f aca="false">MAX(B17-FarmerHours,0)</f>
        <v>0</v>
      </c>
      <c r="E17" s="12" t="n">
        <f aca="false">IF(D17=0,0,ROUNDUP(D17/TempWorkerHours,0))</f>
        <v>0</v>
      </c>
      <c r="F17" s="30" t="b">
        <f aca="false">AND(B17&lt;=MaxLaborCapacity,E17&lt;=MaxTempWorkers)</f>
        <v>1</v>
      </c>
      <c r="G17" s="31" t="n">
        <f aca="false">C17*FarmerRate</f>
        <v>19702.9051292786</v>
      </c>
      <c r="H17" s="31" t="n">
        <f aca="false">D17*TempRate</f>
        <v>0</v>
      </c>
      <c r="I17" s="31" t="n">
        <f aca="false">$A17*Mes_Fert</f>
        <v>9680</v>
      </c>
      <c r="J17" s="31" t="n">
        <f aca="false">G17+H17</f>
        <v>19702.9051292786</v>
      </c>
      <c r="K17" s="31" t="n">
        <f aca="false">FixedCosts+I17+J17</f>
        <v>49382.9051292786</v>
      </c>
      <c r="L17" s="31" t="n">
        <f aca="false">K17-K16</f>
        <v>2892.30568660421</v>
      </c>
      <c r="M17" s="31" t="n">
        <f aca="false">Mes_Rev</f>
        <v>2700</v>
      </c>
      <c r="N17" s="30" t="b">
        <f aca="false">L17&lt;=M17</f>
        <v>0</v>
      </c>
      <c r="O17" s="31" t="n">
        <f aca="false">ABS(M17-L17)</f>
        <v>192.30568660421</v>
      </c>
    </row>
    <row r="18" customFormat="false" ht="15" hidden="false" customHeight="true" outlineLevel="0" collapsed="false">
      <c r="A18" s="12" t="n">
        <v>12</v>
      </c>
      <c r="B18" s="29" t="n">
        <f aca="false">IF($A18=0,0,$A18*Mes_BaseLabor*SeasonLength*(1+Mes_DR)^$A18)</f>
        <v>626.807439570419</v>
      </c>
      <c r="C18" s="29" t="n">
        <f aca="false">MIN(B18,FarmerHours)</f>
        <v>626.807439570419</v>
      </c>
      <c r="D18" s="29" t="n">
        <f aca="false">MAX(B18-FarmerHours,0)</f>
        <v>0</v>
      </c>
      <c r="E18" s="12" t="n">
        <f aca="false">IF(D18=0,0,ROUNDUP(D18/TempWorkerHours,0))</f>
        <v>0</v>
      </c>
      <c r="F18" s="30" t="b">
        <f aca="false">AND(B18&lt;=MaxLaborCapacity,E18&lt;=MaxTempWorkers)</f>
        <v>1</v>
      </c>
      <c r="G18" s="31" t="n">
        <f aca="false">C18*FarmerRate</f>
        <v>21762.7543018849</v>
      </c>
      <c r="H18" s="31" t="n">
        <f aca="false">D18*TempRate</f>
        <v>0</v>
      </c>
      <c r="I18" s="31" t="n">
        <f aca="false">$A18*Mes_Fert</f>
        <v>10560</v>
      </c>
      <c r="J18" s="31" t="n">
        <f aca="false">G18+H18</f>
        <v>21762.7543018849</v>
      </c>
      <c r="K18" s="31" t="n">
        <f aca="false">FixedCosts+I18+J18</f>
        <v>52322.754301885</v>
      </c>
      <c r="L18" s="31" t="n">
        <f aca="false">K18-K17</f>
        <v>2939.8491726064</v>
      </c>
      <c r="M18" s="31" t="n">
        <f aca="false">Mes_Rev</f>
        <v>2700</v>
      </c>
      <c r="N18" s="30" t="b">
        <f aca="false">L18&lt;=M18</f>
        <v>0</v>
      </c>
      <c r="O18" s="31" t="n">
        <f aca="false">ABS(M18-L18)</f>
        <v>239.849172606395</v>
      </c>
    </row>
    <row r="19" customFormat="false" ht="15" hidden="false" customHeight="true" outlineLevel="0" collapsed="false">
      <c r="A19" s="12" t="n">
        <v>13</v>
      </c>
      <c r="B19" s="29" t="n">
        <f aca="false">IF($A19=0,0,$A19*Mes_BaseLabor*SeasonLength*(1+Mes_DR)^$A19)</f>
        <v>687.529410278803</v>
      </c>
      <c r="C19" s="29" t="n">
        <f aca="false">MIN(B19,FarmerHours)</f>
        <v>687.529410278803</v>
      </c>
      <c r="D19" s="29" t="n">
        <f aca="false">MAX(B19-FarmerHours,0)</f>
        <v>0</v>
      </c>
      <c r="E19" s="12" t="n">
        <f aca="false">IF(D19=0,0,ROUNDUP(D19/TempWorkerHours,0))</f>
        <v>0</v>
      </c>
      <c r="F19" s="30" t="b">
        <f aca="false">AND(B19&lt;=MaxLaborCapacity,E19&lt;=MaxTempWorkers)</f>
        <v>1</v>
      </c>
      <c r="G19" s="31" t="n">
        <f aca="false">C19*FarmerRate</f>
        <v>23871.0211248801</v>
      </c>
      <c r="H19" s="31" t="n">
        <f aca="false">D19*TempRate</f>
        <v>0</v>
      </c>
      <c r="I19" s="31" t="n">
        <f aca="false">$A19*Mes_Fert</f>
        <v>11440</v>
      </c>
      <c r="J19" s="31" t="n">
        <f aca="false">G19+H19</f>
        <v>23871.0211248801</v>
      </c>
      <c r="K19" s="31" t="n">
        <f aca="false">FixedCosts+I19+J19</f>
        <v>55311.0211248801</v>
      </c>
      <c r="L19" s="31" t="n">
        <f aca="false">K19-K18</f>
        <v>2988.2668229951</v>
      </c>
      <c r="M19" s="31" t="n">
        <f aca="false">Mes_Rev</f>
        <v>2700</v>
      </c>
      <c r="N19" s="30" t="b">
        <f aca="false">L19&lt;=M19</f>
        <v>0</v>
      </c>
      <c r="O19" s="31" t="n">
        <f aca="false">ABS(M19-L19)</f>
        <v>288.266822995101</v>
      </c>
    </row>
    <row r="20" customFormat="false" ht="15" hidden="false" customHeight="true" outlineLevel="0" collapsed="false">
      <c r="A20" s="12" t="n">
        <v>14</v>
      </c>
      <c r="B20" s="29" t="n">
        <f aca="false">IF($A20=0,0,$A20*Mes_BaseLabor*SeasonLength*(1+Mes_DR)^$A20)</f>
        <v>749.671491592464</v>
      </c>
      <c r="C20" s="29" t="n">
        <f aca="false">MIN(B20,FarmerHours)</f>
        <v>720</v>
      </c>
      <c r="D20" s="29" t="n">
        <f aca="false">MAX(B20-FarmerHours,0)</f>
        <v>29.6714915924644</v>
      </c>
      <c r="E20" s="12" t="n">
        <f aca="false">IF(D20=0,0,ROUNDUP(D20/TempWorkerHours,0))</f>
        <v>1</v>
      </c>
      <c r="F20" s="30" t="b">
        <f aca="false">AND(B20&lt;=MaxLaborCapacity,E20&lt;=MaxTempWorkers)</f>
        <v>1</v>
      </c>
      <c r="G20" s="31" t="n">
        <f aca="false">C20*FarmerRate</f>
        <v>24998.4</v>
      </c>
      <c r="H20" s="31" t="n">
        <f aca="false">D20*TempRate</f>
        <v>515.097094045181</v>
      </c>
      <c r="I20" s="31" t="n">
        <f aca="false">$A20*Mes_Fert</f>
        <v>12320</v>
      </c>
      <c r="J20" s="31" t="n">
        <f aca="false">G20+H20</f>
        <v>25513.4970940452</v>
      </c>
      <c r="K20" s="31" t="n">
        <f aca="false">FixedCosts+I20+J20</f>
        <v>57833.4970940452</v>
      </c>
      <c r="L20" s="31" t="n">
        <f aca="false">K20-K19</f>
        <v>2522.47596916513</v>
      </c>
      <c r="M20" s="31" t="n">
        <f aca="false">Mes_Rev</f>
        <v>2700</v>
      </c>
      <c r="N20" s="30" t="b">
        <f aca="false">L20&lt;=M20</f>
        <v>1</v>
      </c>
      <c r="O20" s="31" t="n">
        <f aca="false">ABS(M20-L20)</f>
        <v>177.524030834873</v>
      </c>
    </row>
    <row r="21" customFormat="false" ht="15" hidden="false" customHeight="true" outlineLevel="0" collapsed="false">
      <c r="A21" s="12" t="n">
        <v>15</v>
      </c>
      <c r="B21" s="29" t="n">
        <f aca="false">IF($A21=0,0,$A21*Mes_BaseLabor*SeasonLength*(1+Mes_DR)^$A21)</f>
        <v>813.259698468611</v>
      </c>
      <c r="C21" s="29" t="n">
        <f aca="false">MIN(B21,FarmerHours)</f>
        <v>720</v>
      </c>
      <c r="D21" s="29" t="n">
        <f aca="false">MAX(B21-FarmerHours,0)</f>
        <v>93.2596984686107</v>
      </c>
      <c r="E21" s="12" t="n">
        <f aca="false">IF(D21=0,0,ROUNDUP(D21/TempWorkerHours,0))</f>
        <v>1</v>
      </c>
      <c r="F21" s="30" t="b">
        <f aca="false">AND(B21&lt;=MaxLaborCapacity,E21&lt;=MaxTempWorkers)</f>
        <v>1</v>
      </c>
      <c r="G21" s="31" t="n">
        <f aca="false">C21*FarmerRate</f>
        <v>24998.4</v>
      </c>
      <c r="H21" s="31" t="n">
        <f aca="false">D21*TempRate</f>
        <v>1618.98836541508</v>
      </c>
      <c r="I21" s="31" t="n">
        <f aca="false">$A21*Mes_Fert</f>
        <v>13200</v>
      </c>
      <c r="J21" s="31" t="n">
        <f aca="false">G21+H21</f>
        <v>26617.3883654151</v>
      </c>
      <c r="K21" s="31" t="n">
        <f aca="false">FixedCosts+I21+J21</f>
        <v>59817.3883654151</v>
      </c>
      <c r="L21" s="31" t="n">
        <f aca="false">K21-K20</f>
        <v>1983.89127136991</v>
      </c>
      <c r="M21" s="31" t="n">
        <f aca="false">Mes_Rev</f>
        <v>2700</v>
      </c>
      <c r="N21" s="30" t="b">
        <f aca="false">L21&lt;=M21</f>
        <v>1</v>
      </c>
      <c r="O21" s="31" t="n">
        <f aca="false">ABS(M21-L21)</f>
        <v>716.10872863009</v>
      </c>
    </row>
    <row r="22" customFormat="false" ht="15" hidden="false" customHeight="true" outlineLevel="0" collapsed="false">
      <c r="A22" s="12" t="n">
        <v>16</v>
      </c>
      <c r="B22" s="29" t="n">
        <f aca="false">IF($A22=0,0,$A22*Mes_BaseLabor*SeasonLength*(1+Mes_DR)^$A22)</f>
        <v>878.3204743461</v>
      </c>
      <c r="C22" s="29" t="n">
        <f aca="false">MIN(B22,FarmerHours)</f>
        <v>720</v>
      </c>
      <c r="D22" s="29" t="n">
        <f aca="false">MAX(B22-FarmerHours,0)</f>
        <v>158.3204743461</v>
      </c>
      <c r="E22" s="12" t="n">
        <f aca="false">IF(D22=0,0,ROUNDUP(D22/TempWorkerHours,0))</f>
        <v>1</v>
      </c>
      <c r="F22" s="30" t="b">
        <f aca="false">AND(B22&lt;=MaxLaborCapacity,E22&lt;=MaxTempWorkers)</f>
        <v>1</v>
      </c>
      <c r="G22" s="31" t="n">
        <f aca="false">C22*FarmerRate</f>
        <v>24998.4</v>
      </c>
      <c r="H22" s="31" t="n">
        <f aca="false">D22*TempRate</f>
        <v>2748.44343464829</v>
      </c>
      <c r="I22" s="31" t="n">
        <f aca="false">$A22*Mes_Fert</f>
        <v>14080</v>
      </c>
      <c r="J22" s="31" t="n">
        <f aca="false">G22+H22</f>
        <v>27746.8434346483</v>
      </c>
      <c r="K22" s="31" t="n">
        <f aca="false">FixedCosts+I22+J22</f>
        <v>61826.8434346483</v>
      </c>
      <c r="L22" s="31" t="n">
        <f aca="false">K22-K21</f>
        <v>2009.45506923321</v>
      </c>
      <c r="M22" s="31" t="n">
        <f aca="false">Mes_Rev</f>
        <v>2700</v>
      </c>
      <c r="N22" s="30" t="b">
        <f aca="false">L22&lt;=M22</f>
        <v>1</v>
      </c>
      <c r="O22" s="31" t="n">
        <f aca="false">ABS(M22-L22)</f>
        <v>690.544930766795</v>
      </c>
    </row>
    <row r="23" customFormat="false" ht="15" hidden="false" customHeight="true" outlineLevel="0" collapsed="false">
      <c r="A23" s="12" t="n">
        <v>17</v>
      </c>
      <c r="B23" s="29" t="n">
        <f aca="false">IF($A23=0,0,$A23*Mes_BaseLabor*SeasonLength*(1+Mes_DR)^$A23)</f>
        <v>944.88069779264</v>
      </c>
      <c r="C23" s="29" t="n">
        <f aca="false">MIN(B23,FarmerHours)</f>
        <v>720</v>
      </c>
      <c r="D23" s="29" t="n">
        <f aca="false">MAX(B23-FarmerHours,0)</f>
        <v>224.88069779264</v>
      </c>
      <c r="E23" s="12" t="n">
        <f aca="false">IF(D23=0,0,ROUNDUP(D23/TempWorkerHours,0))</f>
        <v>1</v>
      </c>
      <c r="F23" s="30" t="b">
        <f aca="false">AND(B23&lt;=MaxLaborCapacity,E23&lt;=MaxTempWorkers)</f>
        <v>1</v>
      </c>
      <c r="G23" s="31" t="n">
        <f aca="false">C23*FarmerRate</f>
        <v>24998.4</v>
      </c>
      <c r="H23" s="31" t="n">
        <f aca="false">D23*TempRate</f>
        <v>3903.92891368023</v>
      </c>
      <c r="I23" s="31" t="n">
        <f aca="false">$A23*Mes_Fert</f>
        <v>14960</v>
      </c>
      <c r="J23" s="31" t="n">
        <f aca="false">G23+H23</f>
        <v>28902.3289136802</v>
      </c>
      <c r="K23" s="31" t="n">
        <f aca="false">FixedCosts+I23+J23</f>
        <v>63862.3289136802</v>
      </c>
      <c r="L23" s="31" t="n">
        <f aca="false">K23-K22</f>
        <v>2035.48547903194</v>
      </c>
      <c r="M23" s="31" t="n">
        <f aca="false">Mes_Rev</f>
        <v>2700</v>
      </c>
      <c r="N23" s="30" t="b">
        <f aca="false">L23&lt;=M23</f>
        <v>1</v>
      </c>
      <c r="O23" s="31" t="n">
        <f aca="false">ABS(M23-L23)</f>
        <v>664.514520968063</v>
      </c>
    </row>
    <row r="24" customFormat="false" ht="15" hidden="false" customHeight="true" outlineLevel="0" collapsed="false">
      <c r="A24" s="12" t="n">
        <v>18</v>
      </c>
      <c r="B24" s="29" t="n">
        <f aca="false">IF($A24=0,0,$A24*Mes_BaseLabor*SeasonLength*(1+Mes_DR)^$A24)</f>
        <v>1012.96768925123</v>
      </c>
      <c r="C24" s="29" t="n">
        <f aca="false">MIN(B24,FarmerHours)</f>
        <v>720</v>
      </c>
      <c r="D24" s="29" t="n">
        <f aca="false">MAX(B24-FarmerHours,0)</f>
        <v>292.967689251227</v>
      </c>
      <c r="E24" s="12" t="n">
        <f aca="false">IF(D24=0,0,ROUNDUP(D24/TempWorkerHours,0))</f>
        <v>1</v>
      </c>
      <c r="F24" s="30" t="b">
        <f aca="false">AND(B24&lt;=MaxLaborCapacity,E24&lt;=MaxTempWorkers)</f>
        <v>1</v>
      </c>
      <c r="G24" s="31" t="n">
        <f aca="false">C24*FarmerRate</f>
        <v>24998.4</v>
      </c>
      <c r="H24" s="31" t="n">
        <f aca="false">D24*TempRate</f>
        <v>5085.9190854013</v>
      </c>
      <c r="I24" s="31" t="n">
        <f aca="false">$A24*Mes_Fert</f>
        <v>15840</v>
      </c>
      <c r="J24" s="31" t="n">
        <f aca="false">G24+H24</f>
        <v>30084.3190854013</v>
      </c>
      <c r="K24" s="31" t="n">
        <f aca="false">FixedCosts+I24+J24</f>
        <v>65924.3190854013</v>
      </c>
      <c r="L24" s="31" t="n">
        <f aca="false">K24-K23</f>
        <v>2061.99017172108</v>
      </c>
      <c r="M24" s="31" t="n">
        <f aca="false">Mes_Rev</f>
        <v>2700</v>
      </c>
      <c r="N24" s="30" t="b">
        <f aca="false">L24&lt;=M24</f>
        <v>1</v>
      </c>
      <c r="O24" s="31" t="n">
        <f aca="false">ABS(M24-L24)</f>
        <v>638.009828278919</v>
      </c>
    </row>
    <row r="25" customFormat="false" ht="15" hidden="false" customHeight="true" outlineLevel="0" collapsed="false">
      <c r="A25" s="12" t="n">
        <v>19</v>
      </c>
      <c r="B25" s="29" t="n">
        <f aca="false">IF($A25=0,0,$A25*Mes_BaseLabor*SeasonLength*(1+Mes_DR)^$A25)</f>
        <v>1082.60921788725</v>
      </c>
      <c r="C25" s="29" t="n">
        <f aca="false">MIN(B25,FarmerHours)</f>
        <v>720</v>
      </c>
      <c r="D25" s="29" t="n">
        <f aca="false">MAX(B25-FarmerHours,0)</f>
        <v>362.609217887249</v>
      </c>
      <c r="E25" s="12" t="n">
        <f aca="false">IF(D25=0,0,ROUNDUP(D25/TempWorkerHours,0))</f>
        <v>1</v>
      </c>
      <c r="F25" s="30" t="b">
        <f aca="false">AND(B25&lt;=MaxLaborCapacity,E25&lt;=MaxTempWorkers)</f>
        <v>1</v>
      </c>
      <c r="G25" s="31" t="n">
        <f aca="false">C25*FarmerRate</f>
        <v>24998.4</v>
      </c>
      <c r="H25" s="31" t="n">
        <f aca="false">D25*TempRate</f>
        <v>6294.89602252264</v>
      </c>
      <c r="I25" s="31" t="n">
        <f aca="false">$A25*Mes_Fert</f>
        <v>16720</v>
      </c>
      <c r="J25" s="31" t="n">
        <f aca="false">G25+H25</f>
        <v>31293.2960225226</v>
      </c>
      <c r="K25" s="31" t="n">
        <f aca="false">FixedCosts+I25+J25</f>
        <v>68013.2960225226</v>
      </c>
      <c r="L25" s="31" t="n">
        <f aca="false">K25-K24</f>
        <v>2088.97693712133</v>
      </c>
      <c r="M25" s="31" t="n">
        <f aca="false">Mes_Rev</f>
        <v>2700</v>
      </c>
      <c r="N25" s="30" t="b">
        <f aca="false">L25&lt;=M25</f>
        <v>1</v>
      </c>
      <c r="O25" s="31" t="n">
        <f aca="false">ABS(M25-L25)</f>
        <v>611.023062878667</v>
      </c>
    </row>
    <row r="26" customFormat="false" ht="15" hidden="false" customHeight="true" outlineLevel="0" collapsed="false">
      <c r="A26" s="12" t="n">
        <v>20</v>
      </c>
      <c r="B26" s="29" t="n">
        <f aca="false">IF($A26=0,0,$A26*Mes_BaseLabor*SeasonLength*(1+Mes_DR)^$A26)</f>
        <v>1153.83350853773</v>
      </c>
      <c r="C26" s="29" t="n">
        <f aca="false">MIN(B26,FarmerHours)</f>
        <v>720</v>
      </c>
      <c r="D26" s="29" t="n">
        <f aca="false">MAX(B26-FarmerHours,0)</f>
        <v>433.833508537726</v>
      </c>
      <c r="E26" s="12" t="n">
        <f aca="false">IF(D26=0,0,ROUNDUP(D26/TempWorkerHours,0))</f>
        <v>1</v>
      </c>
      <c r="F26" s="30" t="b">
        <f aca="false">AND(B26&lt;=MaxLaborCapacity,E26&lt;=MaxTempWorkers)</f>
        <v>1</v>
      </c>
      <c r="G26" s="31" t="n">
        <f aca="false">C26*FarmerRate</f>
        <v>24998.4</v>
      </c>
      <c r="H26" s="31" t="n">
        <f aca="false">D26*TempRate</f>
        <v>7531.34970821492</v>
      </c>
      <c r="I26" s="31" t="n">
        <f aca="false">$A26*Mes_Fert</f>
        <v>17600</v>
      </c>
      <c r="J26" s="31" t="n">
        <f aca="false">G26+H26</f>
        <v>32529.7497082149</v>
      </c>
      <c r="K26" s="31" t="n">
        <f aca="false">FixedCosts+I26+J26</f>
        <v>70129.7497082149</v>
      </c>
      <c r="L26" s="31" t="n">
        <f aca="false">K26-K25</f>
        <v>2116.45368569228</v>
      </c>
      <c r="M26" s="31" t="n">
        <f aca="false">Mes_Rev</f>
        <v>2700</v>
      </c>
      <c r="N26" s="30" t="b">
        <f aca="false">L26&lt;=M26</f>
        <v>1</v>
      </c>
      <c r="O26" s="31" t="n">
        <f aca="false">ABS(M26-L26)</f>
        <v>583.546314307721</v>
      </c>
    </row>
    <row r="27" customFormat="false" ht="15" hidden="false" customHeight="true" outlineLevel="0" collapsed="false">
      <c r="A27" s="12" t="n">
        <v>21</v>
      </c>
      <c r="B27" s="29" t="n">
        <f aca="false">IF($A27=0,0,$A27*Mes_BaseLabor*SeasonLength*(1+Mes_DR)^$A27)</f>
        <v>1226.66924876417</v>
      </c>
      <c r="C27" s="29" t="n">
        <f aca="false">MIN(B27,FarmerHours)</f>
        <v>720</v>
      </c>
      <c r="D27" s="29" t="n">
        <f aca="false">MAX(B27-FarmerHours,0)</f>
        <v>506.66924876417</v>
      </c>
      <c r="E27" s="12" t="n">
        <f aca="false">IF(D27=0,0,ROUNDUP(D27/TempWorkerHours,0))</f>
        <v>1</v>
      </c>
      <c r="F27" s="30" t="b">
        <f aca="false">AND(B27&lt;=MaxLaborCapacity,E27&lt;=MaxTempWorkers)</f>
        <v>1</v>
      </c>
      <c r="G27" s="31" t="n">
        <f aca="false">C27*FarmerRate</f>
        <v>24998.4</v>
      </c>
      <c r="H27" s="31" t="n">
        <f aca="false">D27*TempRate</f>
        <v>8795.77815854599</v>
      </c>
      <c r="I27" s="31" t="n">
        <f aca="false">$A27*Mes_Fert</f>
        <v>18480</v>
      </c>
      <c r="J27" s="31" t="n">
        <f aca="false">G27+H27</f>
        <v>33794.178158546</v>
      </c>
      <c r="K27" s="31" t="n">
        <f aca="false">FixedCosts+I27+J27</f>
        <v>72274.178158546</v>
      </c>
      <c r="L27" s="31" t="n">
        <f aca="false">K27-K26</f>
        <v>2144.42845033106</v>
      </c>
      <c r="M27" s="31" t="n">
        <f aca="false">Mes_Rev</f>
        <v>2700</v>
      </c>
      <c r="N27" s="30" t="b">
        <f aca="false">L27&lt;=M27</f>
        <v>1</v>
      </c>
      <c r="O27" s="31" t="n">
        <f aca="false">ABS(M27-L27)</f>
        <v>555.571549668937</v>
      </c>
    </row>
    <row r="28" customFormat="false" ht="15" hidden="false" customHeight="true" outlineLevel="0" collapsed="false">
      <c r="A28" s="12" t="n">
        <v>22</v>
      </c>
      <c r="B28" s="29" t="n">
        <f aca="false">IF($A28=0,0,$A28*Mes_BaseLabor*SeasonLength*(1+Mes_DR)^$A28)</f>
        <v>1301.14559601057</v>
      </c>
      <c r="C28" s="29" t="n">
        <f aca="false">MIN(B28,FarmerHours)</f>
        <v>720</v>
      </c>
      <c r="D28" s="29" t="n">
        <f aca="false">MAX(B28-FarmerHours,0)</f>
        <v>581.145596010566</v>
      </c>
      <c r="E28" s="12" t="n">
        <f aca="false">IF(D28=0,0,ROUNDUP(D28/TempWorkerHours,0))</f>
        <v>1</v>
      </c>
      <c r="F28" s="30" t="b">
        <f aca="false">AND(B28&lt;=MaxLaborCapacity,E28&lt;=MaxTempWorkers)</f>
        <v>1</v>
      </c>
      <c r="G28" s="31" t="n">
        <f aca="false">C28*FarmerRate</f>
        <v>24998.4</v>
      </c>
      <c r="H28" s="31" t="n">
        <f aca="false">D28*TempRate</f>
        <v>10088.6875467434</v>
      </c>
      <c r="I28" s="31" t="n">
        <f aca="false">$A28*Mes_Fert</f>
        <v>19360</v>
      </c>
      <c r="J28" s="31" t="n">
        <f aca="false">G28+H28</f>
        <v>35087.0875467434</v>
      </c>
      <c r="K28" s="31" t="n">
        <f aca="false">FixedCosts+I28+J28</f>
        <v>74447.0875467434</v>
      </c>
      <c r="L28" s="31" t="n">
        <f aca="false">K28-K27</f>
        <v>2172.90938819744</v>
      </c>
      <c r="M28" s="31" t="n">
        <f aca="false">Mes_Rev</f>
        <v>2700</v>
      </c>
      <c r="N28" s="30" t="b">
        <f aca="false">L28&lt;=M28</f>
        <v>1</v>
      </c>
      <c r="O28" s="31" t="n">
        <f aca="false">ABS(M28-L28)</f>
        <v>527.09061180256</v>
      </c>
    </row>
    <row r="29" customFormat="false" ht="15" hidden="false" customHeight="true" outlineLevel="0" collapsed="false">
      <c r="A29" s="12" t="n">
        <v>23</v>
      </c>
      <c r="B29" s="29" t="n">
        <f aca="false">IF($A29=0,0,$A29*Mes_BaseLabor*SeasonLength*(1+Mes_DR)^$A29)</f>
        <v>1377.292184868</v>
      </c>
      <c r="C29" s="29" t="n">
        <f aca="false">MIN(B29,FarmerHours)</f>
        <v>720</v>
      </c>
      <c r="D29" s="29" t="n">
        <f aca="false">MAX(B29-FarmerHours,0)</f>
        <v>657.292184868002</v>
      </c>
      <c r="E29" s="12" t="n">
        <f aca="false">IF(D29=0,0,ROUNDUP(D29/TempWorkerHours,0))</f>
        <v>1</v>
      </c>
      <c r="F29" s="30" t="b">
        <f aca="false">AND(B29&lt;=MaxLaborCapacity,E29&lt;=MaxTempWorkers)</f>
        <v>1</v>
      </c>
      <c r="G29" s="31" t="n">
        <f aca="false">C29*FarmerRate</f>
        <v>24998.4</v>
      </c>
      <c r="H29" s="31" t="n">
        <f aca="false">D29*TempRate</f>
        <v>11410.5923293085</v>
      </c>
      <c r="I29" s="31" t="n">
        <f aca="false">$A29*Mes_Fert</f>
        <v>20240</v>
      </c>
      <c r="J29" s="31" t="n">
        <f aca="false">G29+H29</f>
        <v>36408.9923293085</v>
      </c>
      <c r="K29" s="31" t="n">
        <f aca="false">FixedCosts+I29+J29</f>
        <v>76648.9923293085</v>
      </c>
      <c r="L29" s="31" t="n">
        <f aca="false">K29-K28</f>
        <v>2201.90478256509</v>
      </c>
      <c r="M29" s="31" t="n">
        <f aca="false">Mes_Rev</f>
        <v>2700</v>
      </c>
      <c r="N29" s="30" t="b">
        <f aca="false">L29&lt;=M29</f>
        <v>1</v>
      </c>
      <c r="O29" s="31" t="n">
        <f aca="false">ABS(M29-L29)</f>
        <v>498.095217434908</v>
      </c>
    </row>
    <row r="30" customFormat="false" ht="15" hidden="false" customHeight="true" outlineLevel="0" collapsed="false">
      <c r="A30" s="12" t="n">
        <v>24</v>
      </c>
      <c r="B30" s="29" t="n">
        <f aca="false">IF($A30=0,0,$A30*Mes_BaseLabor*SeasonLength*(1+Mes_DR)^$A30)</f>
        <v>1455.1391344475</v>
      </c>
      <c r="C30" s="29" t="n">
        <f aca="false">MIN(B30,FarmerHours)</f>
        <v>720</v>
      </c>
      <c r="D30" s="29" t="n">
        <f aca="false">MAX(B30-FarmerHours,0)</f>
        <v>735.139134447498</v>
      </c>
      <c r="E30" s="12" t="n">
        <f aca="false">IF(D30=0,0,ROUNDUP(D30/TempWorkerHours,0))</f>
        <v>1</v>
      </c>
      <c r="F30" s="30" t="b">
        <f aca="false">AND(B30&lt;=MaxLaborCapacity,E30&lt;=MaxTempWorkers)</f>
        <v>1</v>
      </c>
      <c r="G30" s="31" t="n">
        <f aca="false">C30*FarmerRate</f>
        <v>24998.4</v>
      </c>
      <c r="H30" s="31" t="n">
        <f aca="false">D30*TempRate</f>
        <v>12762.0153740086</v>
      </c>
      <c r="I30" s="31" t="n">
        <f aca="false">$A30*Mes_Fert</f>
        <v>21120</v>
      </c>
      <c r="J30" s="31" t="n">
        <f aca="false">G30+H30</f>
        <v>37760.4153740086</v>
      </c>
      <c r="K30" s="31" t="n">
        <f aca="false">FixedCosts+I30+J30</f>
        <v>78880.4153740086</v>
      </c>
      <c r="L30" s="31" t="n">
        <f aca="false">K30-K29</f>
        <v>2231.42304470004</v>
      </c>
      <c r="M30" s="31" t="n">
        <f aca="false">Mes_Rev</f>
        <v>2700</v>
      </c>
      <c r="N30" s="30" t="b">
        <f aca="false">L30&lt;=M30</f>
        <v>1</v>
      </c>
      <c r="O30" s="31" t="n">
        <f aca="false">ABS(M30-L30)</f>
        <v>468.576955299955</v>
      </c>
    </row>
    <row r="31" customFormat="false" ht="15" hidden="false" customHeight="true" outlineLevel="0" collapsed="false">
      <c r="A31" s="12" t="n">
        <v>25</v>
      </c>
      <c r="B31" s="29" t="n">
        <f aca="false">IF($A31=0,0,$A31*Mes_BaseLabor*SeasonLength*(1+Mes_DR)^$A31)</f>
        <v>1534.7170558626</v>
      </c>
      <c r="C31" s="29" t="n">
        <f aca="false">MIN(B31,FarmerHours)</f>
        <v>720</v>
      </c>
      <c r="D31" s="29" t="n">
        <f aca="false">MAX(B31-FarmerHours,0)</f>
        <v>814.717055862596</v>
      </c>
      <c r="E31" s="12" t="n">
        <f aca="false">IF(D31=0,0,ROUNDUP(D31/TempWorkerHours,0))</f>
        <v>1</v>
      </c>
      <c r="F31" s="30" t="b">
        <f aca="false">AND(B31&lt;=MaxLaborCapacity,E31&lt;=MaxTempWorkers)</f>
        <v>1</v>
      </c>
      <c r="G31" s="31" t="n">
        <f aca="false">C31*FarmerRate</f>
        <v>24998.4</v>
      </c>
      <c r="H31" s="31" t="n">
        <f aca="false">D31*TempRate</f>
        <v>14143.4880897747</v>
      </c>
      <c r="I31" s="31" t="n">
        <f aca="false">$A31*Mes_Fert</f>
        <v>22000</v>
      </c>
      <c r="J31" s="31" t="n">
        <f aca="false">G31+H31</f>
        <v>39141.8880897747</v>
      </c>
      <c r="K31" s="31" t="n">
        <f aca="false">FixedCosts+I31+J31</f>
        <v>81141.8880897747</v>
      </c>
      <c r="L31" s="31" t="n">
        <f aca="false">K31-K30</f>
        <v>2261.4727157661</v>
      </c>
      <c r="M31" s="31" t="n">
        <f aca="false">Mes_Rev</f>
        <v>2700</v>
      </c>
      <c r="N31" s="30" t="b">
        <f aca="false">L31&lt;=M31</f>
        <v>1</v>
      </c>
      <c r="O31" s="31" t="n">
        <f aca="false">ABS(M31-L31)</f>
        <v>438.527284233904</v>
      </c>
    </row>
    <row r="32" customFormat="false" ht="15" hidden="false" customHeight="true" outlineLevel="0" collapsed="false">
      <c r="A32" s="12" t="n">
        <v>26</v>
      </c>
      <c r="B32" s="29" t="n">
        <f aca="false">IF($A32=0,0,$A32*Mes_BaseLabor*SeasonLength*(1+Mes_DR)^$A32)</f>
        <v>1616.05705982331</v>
      </c>
      <c r="C32" s="29" t="n">
        <f aca="false">MIN(B32,FarmerHours)</f>
        <v>720</v>
      </c>
      <c r="D32" s="29" t="n">
        <f aca="false">MAX(B32-FarmerHours,0)</f>
        <v>896.057059823313</v>
      </c>
      <c r="E32" s="12" t="n">
        <f aca="false">IF(D32=0,0,ROUNDUP(D32/TempWorkerHours,0))</f>
        <v>1</v>
      </c>
      <c r="F32" s="30" t="b">
        <f aca="false">AND(B32&lt;=MaxLaborCapacity,E32&lt;=MaxTempWorkers)</f>
        <v>1</v>
      </c>
      <c r="G32" s="31" t="n">
        <f aca="false">C32*FarmerRate</f>
        <v>24998.4</v>
      </c>
      <c r="H32" s="31" t="n">
        <f aca="false">D32*TempRate</f>
        <v>15555.5505585327</v>
      </c>
      <c r="I32" s="31" t="n">
        <f aca="false">$A32*Mes_Fert</f>
        <v>22880</v>
      </c>
      <c r="J32" s="31" t="n">
        <f aca="false">G32+H32</f>
        <v>40553.9505585327</v>
      </c>
      <c r="K32" s="31" t="n">
        <f aca="false">FixedCosts+I32+J32</f>
        <v>83433.9505585327</v>
      </c>
      <c r="L32" s="31" t="n">
        <f aca="false">K32-K31</f>
        <v>2292.06246875804</v>
      </c>
      <c r="M32" s="31" t="n">
        <f aca="false">Mes_Rev</f>
        <v>2700</v>
      </c>
      <c r="N32" s="30" t="b">
        <f aca="false">L32&lt;=M32</f>
        <v>1</v>
      </c>
      <c r="O32" s="31" t="n">
        <f aca="false">ABS(M32-L32)</f>
        <v>407.937531241958</v>
      </c>
    </row>
    <row r="33" customFormat="false" ht="15" hidden="false" customHeight="true" outlineLevel="0" collapsed="false">
      <c r="A33" s="12" t="n">
        <v>27</v>
      </c>
      <c r="B33" s="29" t="n">
        <f aca="false">IF($A33=0,0,$A33*Mes_BaseLabor*SeasonLength*(1+Mes_DR)^$A33)</f>
        <v>1699.19076434307</v>
      </c>
      <c r="C33" s="29" t="n">
        <f aca="false">MIN(B33,FarmerHours)</f>
        <v>720</v>
      </c>
      <c r="D33" s="29" t="n">
        <f aca="false">MAX(B33-FarmerHours,0)</f>
        <v>979.19076434307</v>
      </c>
      <c r="E33" s="12" t="n">
        <f aca="false">IF(D33=0,0,ROUNDUP(D33/TempWorkerHours,0))</f>
        <v>1</v>
      </c>
      <c r="F33" s="30" t="b">
        <f aca="false">AND(B33&lt;=MaxLaborCapacity,E33&lt;=MaxTempWorkers)</f>
        <v>1</v>
      </c>
      <c r="G33" s="31" t="n">
        <f aca="false">C33*FarmerRate</f>
        <v>24998.4</v>
      </c>
      <c r="H33" s="31" t="n">
        <f aca="false">D33*TempRate</f>
        <v>16998.7516689957</v>
      </c>
      <c r="I33" s="31" t="n">
        <f aca="false">$A33*Mes_Fert</f>
        <v>23760</v>
      </c>
      <c r="J33" s="31" t="n">
        <f aca="false">G33+H33</f>
        <v>41997.1516689957</v>
      </c>
      <c r="K33" s="31" t="n">
        <f aca="false">FixedCosts+I33+J33</f>
        <v>85757.1516689957</v>
      </c>
      <c r="L33" s="31" t="n">
        <f aca="false">K33-K32</f>
        <v>2323.20111046299</v>
      </c>
      <c r="M33" s="31" t="n">
        <f aca="false">Mes_Rev</f>
        <v>2700</v>
      </c>
      <c r="N33" s="30" t="b">
        <f aca="false">L33&lt;=M33</f>
        <v>1</v>
      </c>
      <c r="O33" s="31" t="n">
        <f aca="false">ABS(M33-L33)</f>
        <v>376.798889537007</v>
      </c>
    </row>
    <row r="34" customFormat="false" ht="15" hidden="false" customHeight="true" outlineLevel="0" collapsed="false">
      <c r="A34" s="12" t="n">
        <v>28</v>
      </c>
      <c r="B34" s="29" t="n">
        <f aca="false">IF($A34=0,0,$A34*Mes_BaseLabor*SeasonLength*(1+Mes_DR)^$A34)</f>
        <v>1784.15030256022</v>
      </c>
      <c r="C34" s="29" t="n">
        <f aca="false">MIN(B34,FarmerHours)</f>
        <v>720</v>
      </c>
      <c r="D34" s="29" t="n">
        <f aca="false">MAX(B34-FarmerHours,0)</f>
        <v>1064.15030256022</v>
      </c>
      <c r="E34" s="12" t="n">
        <f aca="false">IF(D34=0,0,ROUNDUP(D34/TempWorkerHours,0))</f>
        <v>1</v>
      </c>
      <c r="F34" s="30" t="b">
        <f aca="false">AND(B34&lt;=MaxLaborCapacity,E34&lt;=MaxTempWorkers)</f>
        <v>1</v>
      </c>
      <c r="G34" s="31" t="n">
        <f aca="false">C34*FarmerRate</f>
        <v>24998.4</v>
      </c>
      <c r="H34" s="31" t="n">
        <f aca="false">D34*TempRate</f>
        <v>18473.6492524455</v>
      </c>
      <c r="I34" s="31" t="n">
        <f aca="false">$A34*Mes_Fert</f>
        <v>24640</v>
      </c>
      <c r="J34" s="31" t="n">
        <f aca="false">G34+H34</f>
        <v>43472.0492524455</v>
      </c>
      <c r="K34" s="31" t="n">
        <f aca="false">FixedCosts+I34+J34</f>
        <v>88112.0492524455</v>
      </c>
      <c r="L34" s="31" t="n">
        <f aca="false">K34-K33</f>
        <v>2354.89758344978</v>
      </c>
      <c r="M34" s="31" t="n">
        <f aca="false">Mes_Rev</f>
        <v>2700</v>
      </c>
      <c r="N34" s="30" t="b">
        <f aca="false">L34&lt;=M34</f>
        <v>1</v>
      </c>
      <c r="O34" s="31" t="n">
        <f aca="false">ABS(M34-L34)</f>
        <v>345.102416550217</v>
      </c>
    </row>
    <row r="35" customFormat="false" ht="15" hidden="false" customHeight="true" outlineLevel="0" collapsed="false">
      <c r="A35" s="12" t="n">
        <v>29</v>
      </c>
      <c r="B35" s="29" t="n">
        <f aca="false">IF($A35=0,0,$A35*Mes_BaseLabor*SeasonLength*(1+Mes_DR)^$A35)</f>
        <v>1870.96833067588</v>
      </c>
      <c r="C35" s="29" t="n">
        <f aca="false">MIN(B35,FarmerHours)</f>
        <v>720</v>
      </c>
      <c r="D35" s="29" t="n">
        <f aca="false">MAX(B35-FarmerHours,0)</f>
        <v>1150.96833067588</v>
      </c>
      <c r="E35" s="12" t="n">
        <f aca="false">IF(D35=0,0,ROUNDUP(D35/TempWorkerHours,0))</f>
        <v>1</v>
      </c>
      <c r="F35" s="30" t="b">
        <f aca="false">AND(B35&lt;=MaxLaborCapacity,E35&lt;=MaxTempWorkers)</f>
        <v>1</v>
      </c>
      <c r="G35" s="31" t="n">
        <f aca="false">C35*FarmerRate</f>
        <v>24998.4</v>
      </c>
      <c r="H35" s="31" t="n">
        <f aca="false">D35*TempRate</f>
        <v>19980.8102205332</v>
      </c>
      <c r="I35" s="31" t="n">
        <f aca="false">$A35*Mes_Fert</f>
        <v>25520</v>
      </c>
      <c r="J35" s="31" t="n">
        <f aca="false">G35+H35</f>
        <v>44979.2102205332</v>
      </c>
      <c r="K35" s="31" t="n">
        <f aca="false">FixedCosts+I35+J35</f>
        <v>90499.2102205332</v>
      </c>
      <c r="L35" s="31" t="n">
        <f aca="false">K35-K34</f>
        <v>2387.16096808774</v>
      </c>
      <c r="M35" s="31" t="n">
        <f aca="false">Mes_Rev</f>
        <v>2700</v>
      </c>
      <c r="N35" s="30" t="b">
        <f aca="false">L35&lt;=M35</f>
        <v>1</v>
      </c>
      <c r="O35" s="31" t="n">
        <f aca="false">ABS(M35-L35)</f>
        <v>312.839031912255</v>
      </c>
    </row>
    <row r="36" customFormat="false" ht="15" hidden="false" customHeight="true" outlineLevel="0" collapsed="false">
      <c r="A36" s="12" t="n">
        <v>30</v>
      </c>
      <c r="B36" s="29" t="n">
        <f aca="false">IF($A36=0,0,$A36*Mes_BaseLabor*SeasonLength*(1+Mes_DR)^$A36)</f>
        <v>1959.67803600965</v>
      </c>
      <c r="C36" s="29" t="n">
        <f aca="false">MIN(B36,FarmerHours)</f>
        <v>720</v>
      </c>
      <c r="D36" s="29" t="n">
        <f aca="false">MAX(B36-FarmerHours,0)</f>
        <v>1239.67803600965</v>
      </c>
      <c r="E36" s="12" t="n">
        <f aca="false">IF(D36=0,0,ROUNDUP(D36/TempWorkerHours,0))</f>
        <v>1</v>
      </c>
      <c r="F36" s="30" t="b">
        <f aca="false">AND(B36&lt;=MaxLaborCapacity,E36&lt;=MaxTempWorkers)</f>
        <v>1</v>
      </c>
      <c r="G36" s="31" t="n">
        <f aca="false">C36*FarmerRate</f>
        <v>24998.4</v>
      </c>
      <c r="H36" s="31" t="n">
        <f aca="false">D36*TempRate</f>
        <v>21520.8107051275</v>
      </c>
      <c r="I36" s="31" t="n">
        <f aca="false">$A36*Mes_Fert</f>
        <v>26400</v>
      </c>
      <c r="J36" s="31" t="n">
        <f aca="false">G36+H36</f>
        <v>46519.2107051275</v>
      </c>
      <c r="K36" s="31" t="n">
        <f aca="false">FixedCosts+I36+J36</f>
        <v>92919.2107051275</v>
      </c>
      <c r="L36" s="31" t="n">
        <f aca="false">K36-K35</f>
        <v>2420.00048459425</v>
      </c>
      <c r="M36" s="31" t="n">
        <f aca="false">Mes_Rev</f>
        <v>2700</v>
      </c>
      <c r="N36" s="30" t="b">
        <f aca="false">L36&lt;=M36</f>
        <v>1</v>
      </c>
      <c r="O36" s="31" t="n">
        <f aca="false">ABS(M36-L36)</f>
        <v>279.999515405754</v>
      </c>
    </row>
  </sheetData>
  <mergeCells count="2">
    <mergeCell ref="A1:O1"/>
    <mergeCell ref="A2:O2"/>
  </mergeCells>
  <conditionalFormatting sqref="O7:O36">
    <cfRule type="colorScale" priority="2">
      <colorScale>
        <cfvo type="min" val="0"/>
        <cfvo type="percentile" val="50"/>
        <cfvo type="max" val="0"/>
        <color rgb="FF63BE7B"/>
        <color rgb="FFFFEB84"/>
        <color rgb="FFF8696B"/>
      </colorScale>
    </cfRule>
  </conditionalFormatting>
  <conditionalFormatting sqref="F6:F36">
    <cfRule type="cellIs" priority="3" operator="equal" aboveAverage="0" equalAverage="0" bottom="0" percent="0" rank="0" text="" dxfId="0">
      <formula>1</formula>
    </cfRule>
    <cfRule type="cellIs" priority="4" operator="equal" aboveAverage="0" equalAverage="0" bottom="0" percent="0" rank="0" text="" dxfId="1">
      <formula>0</formula>
    </cfRule>
  </conditionalFormatting>
  <conditionalFormatting sqref="N6:N36">
    <cfRule type="cellIs" priority="5" operator="equal" aboveAverage="0" equalAverage="0" bottom="0" percent="0" rank="0" text="" dxfId="0">
      <formula>1</formula>
    </cfRule>
    <cfRule type="cellIs" priority="6" operator="equal"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6"/>
    <col collapsed="false" customWidth="true" hidden="false" outlineLevel="0" max="2" min="2" style="1" width="20"/>
    <col collapsed="false" customWidth="true" hidden="false" outlineLevel="0" max="3" min="3" style="1" width="46"/>
  </cols>
  <sheetData>
    <row r="1" customFormat="false" ht="21.75" hidden="false" customHeight="true" outlineLevel="0" collapsed="false">
      <c r="A1" s="2" t="s">
        <v>108</v>
      </c>
      <c r="B1" s="2"/>
      <c r="C1" s="2"/>
    </row>
    <row r="2" customFormat="false" ht="18" hidden="false" customHeight="true" outlineLevel="0" collapsed="false">
      <c r="A2" s="11" t="s">
        <v>109</v>
      </c>
      <c r="B2" s="11"/>
      <c r="C2" s="11"/>
    </row>
    <row r="4" customFormat="false" ht="15" hidden="false" customHeight="true" outlineLevel="0" collapsed="false">
      <c r="A4" s="3" t="s">
        <v>110</v>
      </c>
      <c r="B4" s="3" t="s">
        <v>111</v>
      </c>
      <c r="C4" s="3" t="s">
        <v>112</v>
      </c>
    </row>
    <row r="5" customFormat="false" ht="15" hidden="false" customHeight="true" outlineLevel="0" collapsed="false">
      <c r="A5" s="4" t="s">
        <v>113</v>
      </c>
      <c r="B5" s="30" t="b">
        <f aca="false">AND(TomatoBeds=INT(TomatoBeds),TomatoBeds&gt;=0,TomatoBeds&lt;=Tom_Limit)</f>
        <v>1</v>
      </c>
      <c r="C5" s="33" t="s">
        <v>114</v>
      </c>
    </row>
    <row r="6" customFormat="false" ht="15" hidden="false" customHeight="true" outlineLevel="0" collapsed="false">
      <c r="A6" s="4" t="s">
        <v>115</v>
      </c>
      <c r="B6" s="30" t="b">
        <f aca="false">AND(CarrotBeds=INT(CarrotBeds),CarrotBeds&gt;=0,CarrotBeds&lt;=Car_Limit)</f>
        <v>1</v>
      </c>
      <c r="C6" s="33" t="s">
        <v>116</v>
      </c>
    </row>
    <row r="7" customFormat="false" ht="15" hidden="false" customHeight="true" outlineLevel="0" collapsed="false">
      <c r="A7" s="4" t="s">
        <v>117</v>
      </c>
      <c r="B7" s="30" t="b">
        <f aca="false">AND(MesclunBeds=INT(MesclunBeds),MesclunBeds&gt;=0,MesclunBeds&lt;=Mes_Limit)</f>
        <v>1</v>
      </c>
      <c r="C7" s="33" t="s">
        <v>118</v>
      </c>
    </row>
    <row r="8" customFormat="false" ht="15" hidden="false" customHeight="true" outlineLevel="0" collapsed="false">
      <c r="A8" s="4" t="s">
        <v>119</v>
      </c>
      <c r="B8" s="30" t="b">
        <f aca="false">TotalBedsUsed&lt;=TotalBeds</f>
        <v>1</v>
      </c>
      <c r="C8" s="33" t="s">
        <v>120</v>
      </c>
    </row>
    <row r="9" customFormat="false" ht="15" hidden="false" customHeight="true" outlineLevel="0" collapsed="false">
      <c r="A9" s="4" t="s">
        <v>121</v>
      </c>
      <c r="B9" s="30" t="b">
        <f aca="false">TotalLaborRequired&lt;=TotalLaborCapacity</f>
        <v>1</v>
      </c>
      <c r="C9" s="33" t="s">
        <v>122</v>
      </c>
    </row>
    <row r="10" customFormat="false" ht="15" hidden="false" customHeight="true" outlineLevel="0" collapsed="false">
      <c r="A10" s="4" t="s">
        <v>123</v>
      </c>
      <c r="B10" s="30" t="b">
        <f aca="false">TotalLaborRequired&lt;=MaxLaborCapacity</f>
        <v>1</v>
      </c>
      <c r="C10" s="33" t="s">
        <v>124</v>
      </c>
    </row>
    <row r="11" customFormat="false" ht="15" hidden="false" customHeight="true" outlineLevel="0" collapsed="false">
      <c r="A11" s="4" t="s">
        <v>125</v>
      </c>
      <c r="B11" s="30" t="b">
        <f aca="false">TempWorkersNeeded&lt;=MaxTempWorkers</f>
        <v>1</v>
      </c>
      <c r="C11" s="33" t="s">
        <v>126</v>
      </c>
    </row>
    <row r="13" customFormat="false" ht="15" hidden="false" customHeight="true" outlineLevel="0" collapsed="false">
      <c r="A13" s="14" t="s">
        <v>127</v>
      </c>
      <c r="B13" s="30" t="b">
        <f aca="false">AND(B5,B6,B7,B8,B9,B10,B11)</f>
        <v>1</v>
      </c>
    </row>
  </sheetData>
  <mergeCells count="2">
    <mergeCell ref="A1:C1"/>
    <mergeCell ref="A2:C2"/>
  </mergeCells>
  <conditionalFormatting sqref="B5">
    <cfRule type="cellIs" priority="2" operator="equal" aboveAverage="0" equalAverage="0" bottom="0" percent="0" rank="0" text="" dxfId="0">
      <formula>1</formula>
    </cfRule>
    <cfRule type="cellIs" priority="3" operator="equal" aboveAverage="0" equalAverage="0" bottom="0" percent="0" rank="0" text="" dxfId="1">
      <formula>0</formula>
    </cfRule>
  </conditionalFormatting>
  <conditionalFormatting sqref="B6">
    <cfRule type="cellIs" priority="4" operator="equal" aboveAverage="0" equalAverage="0" bottom="0" percent="0" rank="0" text="" dxfId="0">
      <formula>1</formula>
    </cfRule>
    <cfRule type="cellIs" priority="5" operator="equal" aboveAverage="0" equalAverage="0" bottom="0" percent="0" rank="0" text="" dxfId="1">
      <formula>0</formula>
    </cfRule>
  </conditionalFormatting>
  <conditionalFormatting sqref="B7">
    <cfRule type="cellIs" priority="6" operator="equal" aboveAverage="0" equalAverage="0" bottom="0" percent="0" rank="0" text="" dxfId="0">
      <formula>1</formula>
    </cfRule>
    <cfRule type="cellIs" priority="7" operator="equal" aboveAverage="0" equalAverage="0" bottom="0" percent="0" rank="0" text="" dxfId="1">
      <formula>0</formula>
    </cfRule>
  </conditionalFormatting>
  <conditionalFormatting sqref="B8">
    <cfRule type="cellIs" priority="8" operator="equal" aboveAverage="0" equalAverage="0" bottom="0" percent="0" rank="0" text="" dxfId="0">
      <formula>1</formula>
    </cfRule>
    <cfRule type="cellIs" priority="9" operator="equal" aboveAverage="0" equalAverage="0" bottom="0" percent="0" rank="0" text="" dxfId="1">
      <formula>0</formula>
    </cfRule>
  </conditionalFormatting>
  <conditionalFormatting sqref="B9">
    <cfRule type="cellIs" priority="10" operator="equal" aboveAverage="0" equalAverage="0" bottom="0" percent="0" rank="0" text="" dxfId="0">
      <formula>1</formula>
    </cfRule>
    <cfRule type="cellIs" priority="11" operator="equal" aboveAverage="0" equalAverage="0" bottom="0" percent="0" rank="0" text="" dxfId="1">
      <formula>0</formula>
    </cfRule>
  </conditionalFormatting>
  <conditionalFormatting sqref="B10">
    <cfRule type="cellIs" priority="12" operator="equal" aboveAverage="0" equalAverage="0" bottom="0" percent="0" rank="0" text="" dxfId="0">
      <formula>1</formula>
    </cfRule>
    <cfRule type="cellIs" priority="13" operator="equal" aboveAverage="0" equalAverage="0" bottom="0" percent="0" rank="0" text="" dxfId="1">
      <formula>0</formula>
    </cfRule>
  </conditionalFormatting>
  <conditionalFormatting sqref="B11">
    <cfRule type="cellIs" priority="14" operator="equal" aboveAverage="0" equalAverage="0" bottom="0" percent="0" rank="0" text="" dxfId="0">
      <formula>1</formula>
    </cfRule>
    <cfRule type="cellIs" priority="15" operator="equal" aboveAverage="0" equalAverage="0" bottom="0" percent="0" rank="0" text="" dxfId="1">
      <formula>0</formula>
    </cfRule>
  </conditionalFormatting>
  <conditionalFormatting sqref="B13">
    <cfRule type="cellIs" priority="16" operator="equal" aboveAverage="0" equalAverage="0" bottom="0" percent="0" rank="0" text="" dxfId="0">
      <formula>1</formula>
    </cfRule>
    <cfRule type="cellIs" priority="17" operator="equal"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110"/>
  </cols>
  <sheetData>
    <row r="1" customFormat="false" ht="21.75" hidden="false" customHeight="true" outlineLevel="0" collapsed="false">
      <c r="A1" s="34" t="s">
        <v>128</v>
      </c>
    </row>
    <row r="3" customFormat="false" ht="15" hidden="false" customHeight="true" outlineLevel="0" collapsed="false">
      <c r="A3" s="15" t="s">
        <v>129</v>
      </c>
    </row>
    <row r="4" customFormat="false" ht="60" hidden="false" customHeight="true" outlineLevel="0" collapsed="false">
      <c r="A4" s="35" t="s">
        <v>130</v>
      </c>
    </row>
    <row r="6" customFormat="false" ht="15" hidden="false" customHeight="true" outlineLevel="0" collapsed="false">
      <c r="A6" s="15" t="s">
        <v>131</v>
      </c>
    </row>
    <row r="7" customFormat="false" ht="60" hidden="false" customHeight="true" outlineLevel="0" collapsed="false">
      <c r="A7" s="35" t="s">
        <v>132</v>
      </c>
    </row>
    <row r="9" customFormat="false" ht="15" hidden="false" customHeight="true" outlineLevel="0" collapsed="false">
      <c r="A9" s="15" t="s">
        <v>133</v>
      </c>
    </row>
    <row r="10" customFormat="false" ht="60" hidden="false" customHeight="true" outlineLevel="0" collapsed="false">
      <c r="A10" s="35" t="s">
        <v>134</v>
      </c>
    </row>
    <row r="12" customFormat="false" ht="15" hidden="false" customHeight="true" outlineLevel="0" collapsed="false">
      <c r="A12" s="15" t="s">
        <v>135</v>
      </c>
    </row>
    <row r="13" customFormat="false" ht="60" hidden="false" customHeight="true" outlineLevel="0" collapsed="false">
      <c r="A13" s="35" t="s">
        <v>136</v>
      </c>
    </row>
    <row r="15" customFormat="false" ht="15" hidden="false" customHeight="true" outlineLevel="0" collapsed="false">
      <c r="A15" s="15" t="s">
        <v>137</v>
      </c>
    </row>
    <row r="16" customFormat="false" ht="60" hidden="false" customHeight="true" outlineLevel="0" collapsed="false">
      <c r="A16" s="35" t="s">
        <v>138</v>
      </c>
    </row>
    <row r="18" customFormat="false" ht="15" hidden="false" customHeight="true" outlineLevel="0" collapsed="false">
      <c r="A18" s="15" t="s">
        <v>139</v>
      </c>
    </row>
    <row r="19" customFormat="false" ht="60" hidden="false" customHeight="true" outlineLevel="0" collapsed="false">
      <c r="A19" s="35" t="s">
        <v>140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2026-09-07T22:27:16Z</dcterms:created>
  <dc:creator>openpyxl</dc:creator>
  <dc:description/>
  <dc:language>en-US</dc:language>
  <cp:lastModifiedBy/>
  <dcterms:modified xsi:type="dcterms:W3CDTF">2026-09-08T00:56:49Z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